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A0CCE029-1AEE-41D1-9409-CFFB8975C92D}" xr6:coauthVersionLast="47" xr6:coauthVersionMax="47" xr10:uidLastSave="{00000000-0000-0000-0000-000000000000}"/>
  <bookViews>
    <workbookView xWindow="-120" yWindow="-120" windowWidth="20730" windowHeight="11760" firstSheet="5" activeTab="8" xr2:uid="{6845861A-AA2B-467C-9483-A70C6D15A7C1}"/>
  </bookViews>
  <sheets>
    <sheet name="Excel_jumia_dataset" sheetId="1" r:id="rId1"/>
    <sheet name="Product Categories section" sheetId="15" r:id="rId2"/>
    <sheet name="Cleaned" sheetId="2" r:id="rId3"/>
    <sheet name="Data Analysis" sheetId="3" r:id="rId4"/>
    <sheet name="Seller Performance Analysis" sheetId="9" r:id="rId5"/>
    <sheet name="Trend Analysis" sheetId="5" r:id="rId6"/>
    <sheet name="Product Performance Section" sheetId="11" r:id="rId7"/>
    <sheet name="Product Performance Analysis" sheetId="6" r:id="rId8"/>
    <sheet name="Dashboard" sheetId="10" r:id="rId9"/>
  </sheets>
  <definedNames>
    <definedName name="_xlnm._FilterDatabase" localSheetId="2" hidden="1">Cleaned!$A$1:$I$1</definedName>
    <definedName name="_xlnm._FilterDatabase" localSheetId="3" hidden="1">'Data Analysis'!$A$1:$J$1</definedName>
    <definedName name="_xlnm._FilterDatabase" localSheetId="7" hidden="1">'Product Performance Analysis'!$A$1:$K$113</definedName>
    <definedName name="_xlnm._FilterDatabase" localSheetId="4" hidden="1">'Seller Performance Analysis'!$A$1:$L$113</definedName>
    <definedName name="_xlnm._FilterDatabase" localSheetId="5" hidden="1">'Trend Analysis'!$A$1:$J$113</definedName>
    <definedName name="Price_Q1">_xlfn.QUARTILE.INC(Cleaned!$B:$B,1)</definedName>
    <definedName name="Price_Q3">_xlfn.QUARTILE.INC(Cleaned!$B:$B,3)</definedName>
    <definedName name="Review_Q1" xml:space="preserve"> _xlfn.QUARTILE.INC('Product Performance Analysis'!$H$2:$H$113,1)</definedName>
    <definedName name="Review_Q3" xml:space="preserve"> _xlfn.QUARTILE.INC('Product Performance Analysis'!$H$2:$H$113,3)</definedName>
    <definedName name="Slicer_Discount_Category">#N/A</definedName>
    <definedName name="Slicer_Price_Category">#N/A</definedName>
    <definedName name="Slicer_Rating_Category">#N/A</definedName>
  </definedNames>
  <calcPr calcId="0"/>
  <pivotCaches>
    <pivotCache cacheId="32" r:id="rId10"/>
    <pivotCache cacheId="4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9" l="1"/>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2" i="9"/>
  <c r="K112" i="6"/>
  <c r="K103" i="6"/>
  <c r="K84" i="6"/>
  <c r="K81" i="6"/>
  <c r="K80" i="6"/>
  <c r="K75" i="6"/>
  <c r="K74" i="6"/>
  <c r="K73" i="6"/>
  <c r="K72" i="6"/>
  <c r="K71" i="6"/>
  <c r="K70" i="6"/>
  <c r="K69" i="6"/>
  <c r="K68" i="6"/>
  <c r="K67" i="6"/>
  <c r="K66" i="6"/>
  <c r="K65" i="6"/>
  <c r="K64" i="6"/>
  <c r="K63" i="6"/>
  <c r="K62" i="6"/>
  <c r="K61" i="6"/>
  <c r="K40" i="6"/>
  <c r="K39" i="6"/>
  <c r="K38" i="6"/>
  <c r="K37" i="6"/>
  <c r="K36" i="6"/>
  <c r="K35" i="6"/>
  <c r="K34" i="6"/>
  <c r="K33" i="6"/>
  <c r="K32" i="6"/>
  <c r="K30" i="6"/>
  <c r="K29" i="6"/>
  <c r="K28" i="6"/>
  <c r="K27" i="6"/>
  <c r="K26" i="6"/>
  <c r="K25" i="6"/>
  <c r="K24" i="6"/>
  <c r="K22" i="6"/>
  <c r="K21" i="6"/>
  <c r="K20" i="6"/>
  <c r="K19" i="6"/>
  <c r="K18" i="6"/>
  <c r="K17" i="6"/>
  <c r="K16" i="6"/>
  <c r="K15" i="6"/>
  <c r="K14" i="6"/>
  <c r="K13" i="6"/>
  <c r="K12" i="6"/>
  <c r="K11" i="6"/>
  <c r="K10" i="6"/>
  <c r="K9" i="6"/>
  <c r="K8" i="6"/>
  <c r="K7" i="6"/>
  <c r="K6" i="6"/>
  <c r="K5" i="6"/>
  <c r="K4" i="6"/>
  <c r="K3" i="6"/>
  <c r="K2" i="6"/>
  <c r="K116" i="5"/>
  <c r="K115" i="5"/>
  <c r="K114" i="5"/>
  <c r="J112" i="2"/>
  <c r="J103" i="2"/>
  <c r="J84" i="2"/>
  <c r="J81" i="2"/>
  <c r="J80" i="2"/>
  <c r="J75" i="2"/>
  <c r="J74" i="2"/>
  <c r="J73" i="2"/>
  <c r="J72" i="2"/>
  <c r="J71" i="2"/>
  <c r="J70" i="2"/>
  <c r="J69" i="2"/>
  <c r="J68" i="2"/>
  <c r="J67" i="2"/>
  <c r="J66" i="2"/>
  <c r="J65" i="2"/>
  <c r="J64" i="2"/>
  <c r="J63" i="2"/>
  <c r="J62" i="2"/>
  <c r="J61" i="2"/>
  <c r="J40" i="2"/>
  <c r="J39" i="2"/>
  <c r="J38" i="2"/>
  <c r="J37" i="2"/>
  <c r="J36" i="2"/>
  <c r="J35" i="2"/>
  <c r="J34" i="2"/>
  <c r="J33" i="2"/>
  <c r="J32" i="2"/>
  <c r="J30" i="2"/>
  <c r="J29" i="2"/>
  <c r="J28" i="2"/>
  <c r="J27" i="2"/>
  <c r="J26" i="2"/>
  <c r="J25" i="2"/>
  <c r="J24" i="2"/>
  <c r="J22" i="2"/>
  <c r="J21" i="2"/>
  <c r="J20" i="2"/>
  <c r="J19" i="2"/>
  <c r="J18" i="2"/>
  <c r="J17" i="2"/>
  <c r="J16" i="2"/>
  <c r="J15" i="2"/>
  <c r="J14" i="2"/>
  <c r="J13" i="2"/>
  <c r="J12" i="2"/>
  <c r="J11" i="2"/>
  <c r="J10" i="2"/>
  <c r="J9" i="2"/>
  <c r="J8" i="2"/>
  <c r="J7" i="2"/>
  <c r="J6" i="2"/>
  <c r="J5" i="2"/>
  <c r="J4" i="2"/>
  <c r="J3" i="2"/>
  <c r="J2" i="2"/>
  <c r="B117" i="3"/>
  <c r="B116" i="3"/>
  <c r="H115" i="3"/>
  <c r="A115" i="3"/>
  <c r="I115" i="3"/>
  <c r="F115" i="3"/>
  <c r="D115" i="3"/>
  <c r="B115" i="3"/>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2" i="2"/>
  <c r="D40" i="2"/>
  <c r="B40"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2" i="2"/>
</calcChain>
</file>

<file path=xl/sharedStrings.xml><?xml version="1.0" encoding="utf-8"?>
<sst xmlns="http://schemas.openxmlformats.org/spreadsheetml/2006/main" count="3143" uniqueCount="356">
  <si>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</si>
  <si>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</si>
  <si>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</si>
  <si>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</si>
  <si>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</si>
  <si>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</si>
  <si>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</si>
  <si>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</si>
  <si>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</si>
  <si>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</si>
  <si>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</si>
  <si>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</si>
  <si>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</si>
  <si>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</si>
  <si>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</si>
  <si>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</si>
  <si>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</si>
  <si>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</si>
  <si>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</si>
  <si>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</si>
  <si>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</si>
  <si>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</si>
  <si>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</si>
  <si>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</si>
  <si>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</si>
  <si>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</si>
  <si>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</si>
  <si>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</si>
  <si>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</si>
  <si>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</si>
  <si>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</si>
  <si>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</si>
  <si>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</si>
  <si>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</si>
  <si>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</si>
  <si>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</si>
  <si>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</si>
  <si>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</si>
  <si>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</si>
  <si>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</si>
  <si>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</si>
  <si>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</si>
  <si>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</si>
  <si>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</si>
  <si>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</si>
  <si>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</si>
  <si>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</si>
  <si>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</si>
  <si>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</si>
  <si>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</si>
  <si>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</si>
  <si>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</si>
  <si>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</si>
  <si>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</si>
  <si>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</si>
  <si>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</si>
  <si>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</si>
  <si>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</si>
  <si>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</si>
  <si>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</si>
  <si>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</si>
  <si>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</si>
  <si>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</si>
  <si>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</si>
  <si>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</si>
  <si>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</si>
  <si>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</si>
  <si>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</si>
  <si>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</si>
  <si>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</si>
  <si>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</si>
  <si>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</si>
  <si>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</si>
  <si>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</si>
  <si>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</si>
  <si>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</si>
  <si>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</si>
  <si>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</si>
  <si>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</si>
  <si>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</si>
  <si>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</si>
  <si>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</si>
  <si>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</si>
  <si>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</si>
  <si>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</si>
  <si>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</si>
  <si>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</si>
  <si>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</si>
  <si>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</si>
  <si>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</si>
  <si>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</si>
  <si>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</si>
  <si>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</si>
  <si>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</si>
  <si>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</si>
  <si>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</si>
  <si>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</si>
  <si>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</si>
  <si>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</si>
  <si>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</si>
  <si>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</si>
  <si>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</si>
  <si>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</si>
  <si>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</si>
  <si>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</si>
  <si>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</si>
  <si>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</si>
  <si>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</si>
  <si>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</si>
  <si>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</si>
  <si>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</si>
  <si>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</si>
  <si>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</si>
  <si>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</si>
  <si>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</si>
  <si>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</si>
  <si>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</si>
  <si>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</si>
  <si>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</si>
  <si>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</si>
  <si>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</si>
  <si>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</si>
  <si>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</si>
  <si>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</si>
  <si>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</si>
  <si>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</si>
  <si>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</si>
  <si>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</si>
  <si>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</si>
  <si>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</si>
  <si>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</si>
  <si>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</si>
  <si>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</si>
  <si>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</si>
  <si>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</si>
  <si>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</si>
  <si>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</si>
  <si>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</si>
  <si>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</si>
  <si>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</si>
  <si>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</si>
  <si>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</si>
  <si>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</si>
  <si>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</si>
  <si>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</si>
  <si>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</si>
  <si>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</si>
  <si>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</si>
  <si>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</si>
  <si>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</si>
  <si>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</si>
  <si>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</si>
  <si>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</si>
  <si>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</si>
  <si>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</si>
  <si>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</si>
  <si>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</si>
  <si>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</si>
  <si>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</si>
  <si>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</si>
  <si>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</si>
  <si>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</si>
  <si>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</si>
  <si>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</si>
  <si>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</si>
  <si>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</si>
  <si>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</si>
  <si>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</si>
  <si>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</si>
  <si>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</si>
  <si>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</si>
  <si>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</si>
  <si>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</si>
  <si>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</si>
  <si>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</si>
  <si>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</si>
  <si>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</si>
  <si>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</si>
  <si>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</si>
  <si>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</si>
  <si>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</si>
  <si>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</si>
  <si>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</si>
  <si>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</si>
  <si>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</si>
  <si>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</si>
  <si>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</si>
  <si>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</si>
  <si>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</si>
  <si>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</si>
  <si>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</si>
  <si>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</si>
  <si>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</si>
  <si>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</si>
  <si>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</si>
  <si>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</si>
  <si>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</si>
  <si>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</si>
  <si>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</si>
  <si>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</si>
  <si>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</si>
  <si>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</si>
  <si>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</si>
  <si>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</si>
  <si>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</si>
  <si>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</si>
  <si>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</si>
  <si>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</si>
  <si>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</si>
  <si>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</si>
  <si>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</si>
  <si>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</si>
  <si>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</si>
  <si>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</si>
  <si>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</si>
  <si>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</si>
  <si>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</si>
  <si>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</si>
  <si>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</si>
  <si>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</si>
  <si>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</si>
  <si>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</si>
  <si>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</si>
  <si>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</si>
  <si>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</si>
  <si>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</si>
  <si>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</si>
  <si>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</si>
  <si>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</si>
  <si>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</si>
  <si>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</si>
  <si>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</si>
  <si>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</si>
  <si>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</si>
  <si>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</si>
  <si>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</si>
  <si>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</si>
  <si>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</si>
  <si>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</si>
  <si>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</si>
  <si>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</si>
  <si>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</si>
  <si>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</si>
  <si>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</si>
  <si>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</si>
  <si>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</si>
  <si>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</si>
  <si>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</si>
  <si>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</si>
  <si>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</si>
  <si>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</si>
  <si>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</si>
  <si>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</si>
  <si>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</si>
  <si>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</si>
  <si>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</si>
  <si>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</si>
  <si>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</si>
  <si>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</si>
  <si>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</si>
  <si>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</si>
  <si>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</si>
  <si>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</si>
  <si>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</si>
  <si>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</si>
  <si>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</si>
  <si>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</si>
  <si>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</si>
  <si>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</si>
  <si>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</si>
  <si>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</si>
  <si>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</si>
  <si>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</si>
  <si>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</si>
  <si>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</si>
  <si>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</si>
  <si>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</si>
  <si>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</si>
  <si>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</si>
  <si>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</si>
  <si>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</si>
  <si>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</si>
  <si>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</si>
  <si>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</si>
  <si>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</si>
  <si>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</si>
  <si>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</si>
  <si>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</si>
  <si>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</si>
  <si>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</si>
  <si>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</si>
  <si>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</si>
  <si>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</si>
  <si>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</si>
  <si>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</si>
  <si>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</si>
  <si>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</si>
  <si>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</si>
  <si>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</si>
  <si>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</si>
  <si>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</si>
  <si>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</si>
  <si>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</si>
  <si>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</si>
  <si>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</si>
  <si>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</si>
  <si>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</si>
  <si>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</si>
  <si>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</si>
  <si>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</si>
  <si>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</si>
  <si>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</si>
  <si>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</si>
  <si>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</si>
  <si>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</si>
  <si>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</si>
  <si>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</si>
  <si>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</si>
  <si>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</si>
  <si>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</si>
  <si>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</si>
  <si>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</si>
  <si>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</si>
  <si>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Rating</t>
  </si>
  <si>
    <t>Unknown</t>
  </si>
  <si>
    <t>115 Piece Set Of Multifunctional Precision Screwdrivers</t>
  </si>
  <si>
    <t>Anti-Skid Absorbent Insulation Coaster For Home Office</t>
  </si>
  <si>
    <t>Peacock Throw Pillow Cushion Case For Home Car</t>
  </si>
  <si>
    <t>LED Eye Protection Desk Lamp , Study, Reading, USB Fan - Double Pen Holder</t>
  </si>
  <si>
    <t>Intelligent LED Body Sensor Wireless Lighting Night Light USB</t>
  </si>
  <si>
    <t/>
  </si>
  <si>
    <t>Old price</t>
  </si>
  <si>
    <t>Discount Amount</t>
  </si>
  <si>
    <t>Rating Category</t>
  </si>
  <si>
    <t>Discount Category</t>
  </si>
  <si>
    <t>Price Category</t>
  </si>
  <si>
    <t>Medium Price</t>
  </si>
  <si>
    <t>Medium Discount</t>
  </si>
  <si>
    <t>Excellent</t>
  </si>
  <si>
    <t>High Discount</t>
  </si>
  <si>
    <t>High Price</t>
  </si>
  <si>
    <t>Low Discount</t>
  </si>
  <si>
    <t>Average</t>
  </si>
  <si>
    <t>Low Price</t>
  </si>
  <si>
    <t>Poor</t>
  </si>
  <si>
    <t>Row Labels</t>
  </si>
  <si>
    <t>Grand Total</t>
  </si>
  <si>
    <t>Engagement</t>
  </si>
  <si>
    <t>Weak Engagement</t>
  </si>
  <si>
    <t>Strong Engagement</t>
  </si>
  <si>
    <t>Average Engagement</t>
  </si>
  <si>
    <t>Review Category</t>
  </si>
  <si>
    <t>Average of Rating</t>
  </si>
  <si>
    <t>Sum of Review</t>
  </si>
  <si>
    <t>Average of Discount</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</si>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</sst>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
    <numFmt numFmtId="165"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9" fontId="0" fillId="0" borderId="0" xfId="0" applyNumberFormat="1"/>
    <xf numFmtId="49" fontId="0" fillId="0" borderId="0" xfId="0" applyNumberFormat="1"/>
    <xf numFmtId="164" fontId="0" fillId="0" borderId="0" xfId="0" applyNumberFormat="1"/>
    <xf numFmtId="1" fontId="0" fillId="0" borderId="0" xfId="0" applyNumberFormat="1"/>
    <xf numFmtId="165" fontId="0" fillId="0" borderId="0" xfId="0" applyNumberFormat="1"/>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33" borderId="0" xfId="0" applyFill="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[Excel-Jumia-Dashboard-project.xlsx]Product Categories section!PivotTable8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Categories section'!$B$3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3"/>
              </a:solidFill>
              <a:ln w="19050">
                <a:solidFill>
                  <a:schemeClr val="lt1"/>
                </a:solidFill>
              </a:ln>
              <a:effectLst/>
            </c:spPr>
          </c:dPt>
          <c:dPt>
            <c:idx val="2"/>
            <c:bubble3D val="0"/>
            <c:spPr>
              <a:solidFill>
                <a:schemeClr val="accent5"/>
              </a:solidFill>
              <a:ln w="19050">
                <a:solidFill>
                  <a:schemeClr val="lt1"/>
                </a:solidFill>
              </a:ln>
              <a:effectLst/>
            </c:spPr>
          </c:dPt>
          <c:dPt>
            <c:idx val="3"/>
            <c:bubble3D val="0"/>
            <c:spPr>
              <a:solidFill>
                <a:schemeClr val="accent1">
                  <a:lumMod val="60000"/>
                </a:schemeClr>
              </a:solidFill>
              <a:ln w="19050">
                <a:solidFill>
                  <a:schemeClr val="lt1"/>
                </a:solidFill>
              </a:ln>
              <a:effectLst/>
            </c:spPr>
          </c:dPt>
          <c:cat>
            <c:strRef>
              <c:f>'Product Categories section'!$A$4:$A$8</c:f>
              <c:strCache>
                <c:ptCount val="4"/>
                <c:pt idx="0">
                  <c:v>Average</c:v>
                </c:pt>
                <c:pt idx="1">
                  <c:v>Excellent</c:v>
                </c:pt>
                <c:pt idx="2">
                  <c:v>Poor</c:v>
                </c:pt>
                <c:pt idx="3">
                  <c:v>Unknown</c:v>
                </c:pt>
              </c:strCache>
            </c:strRef>
          </c:cat>
          <c:val>
            <c:numRef>
              <c:f>'Product Categories section'!$B$4:$B$8</c:f>
              <c:numCache>
                <c:formatCode>General</c:formatCode>
                <c:ptCount val="4"/>
                <c:pt idx="0">
                  <c:v>13</c:v>
                </c:pt>
                <c:pt idx="1">
                  <c:v>32</c:v>
                </c:pt>
                <c:pt idx="2">
                  <c:v>12</c:v>
                </c:pt>
                <c:pt idx="3">
                  <c:v>55</c:v>
                </c:pt>
              </c:numCache>
            </c:numRef>
          </c:val>
          <c:extLst>
            <c:ext xmlns:c16="http://schemas.microsoft.com/office/drawing/2014/chart" uri="{C3380CC4-5D6E-409C-BE32-E72D297353CC}">
              <c16:uniqueId val="{00000000-C08D-456C-A0B3-DB70755CDF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[Excel-Jumia-Dashboard-project.xlsx]Product Categories section!PivotTable9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Categories section'!$B$23</c:f>
              <c:strCache>
                <c:ptCount val="1"/>
                <c:pt idx="0">
                  <c:v>Total</c:v>
                </c:pt>
              </c:strCache>
            </c:strRef>
          </c:tx>
          <c:spPr>
            <a:solidFill>
              <a:schemeClr val="accent5"/>
            </a:solidFill>
            <a:ln>
              <a:noFill/>
            </a:ln>
            <a:effectLst/>
          </c:spPr>
          <c:invertIfNegative val="0"/>
          <c:cat>
            <c:strRef>
              <c:f>'Product Categories section'!$A$24:$A$27</c:f>
              <c:strCache>
                <c:ptCount val="3"/>
                <c:pt idx="0">
                  <c:v>High Discount</c:v>
                </c:pt>
                <c:pt idx="1">
                  <c:v>Low Discount</c:v>
                </c:pt>
                <c:pt idx="2">
                  <c:v>Medium Discount</c:v>
                </c:pt>
              </c:strCache>
            </c:strRef>
          </c:cat>
          <c:val>
            <c:numRef>
              <c:f>'Product Categories section'!$B$24:$B$27</c:f>
              <c:numCache>
                <c:formatCode>General</c:formatCode>
                <c:ptCount val="3"/>
                <c:pt idx="0">
                  <c:v>62</c:v>
                </c:pt>
                <c:pt idx="1">
                  <c:v>18</c:v>
                </c:pt>
                <c:pt idx="2">
                  <c:v>32</c:v>
                </c:pt>
              </c:numCache>
            </c:numRef>
          </c:val>
          <c:extLst>
            <c:ext xmlns:c16="http://schemas.microsoft.com/office/drawing/2014/chart" uri="{C3380CC4-5D6E-409C-BE32-E72D297353CC}">
              <c16:uniqueId val="{00000000-DFD3-4B4F-A491-A098FF639C30}"/>
            </c:ext>
          </c:extLst>
        </c:ser>
        <c:dLbls>
          <c:showLegendKey val="0"/>
          <c:showVal val="0"/>
          <c:showCatName val="0"/>
          <c:showSerName val="0"/>
          <c:showPercent val="0"/>
          <c:showBubbleSize val="0"/>
        </c:dLbls>
        <c:gapWidth val="219"/>
        <c:overlap val="-27"/>
        <c:axId val="1679526144"/>
        <c:axId val="1679553984"/>
      </c:barChart>
      <c:catAx>
        <c:axId val="167952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53984"/>
        <c:crosses val="autoZero"/>
        <c:auto val="1"/>
        <c:lblAlgn val="ctr"/>
        <c:lblOffset val="100"/>
        <c:noMultiLvlLbl val="0"/>
      </c:catAx>
      <c:valAx>
        <c:axId val="167955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2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Analysis'!$H$1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'Trend Analysis'!$F$2:$F$118</c:f>
              <c:numCache>
                <c:formatCode>0%</c:formatCode>
                <c:ptCount val="117"/>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'Trend Analysis'!$H$2:$H$118</c:f>
              <c:numCache>
                <c:formatCode>0</c:formatCode>
                <c:ptCount val="11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0-F1A6-470D-902E-9E1A1CD61CF0}"/>
            </c:ext>
          </c:extLst>
        </c:ser>
        <c:dLbls>
          <c:showLegendKey val="0"/>
          <c:showVal val="0"/>
          <c:showCatName val="0"/>
          <c:showSerName val="0"/>
          <c:showPercent val="0"/>
          <c:showBubbleSize val="0"/>
        </c:dLbls>
        <c:axId val="1679543904"/>
        <c:axId val="1679544384"/>
      </c:scatterChart>
      <c:valAx>
        <c:axId val="1679543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in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44384"/>
        <c:crosses val="autoZero"/>
        <c:crossBetween val="midCat"/>
      </c:valAx>
      <c:valAx>
        <c:axId val="1679544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439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Analysis'!$I$1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'Trend Analysis'!$H$2:$H$118</c:f>
              <c:strCach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Unknown</c:v>
                </c:pt>
                <c:pt idx="22">
                  <c:v>6</c:v>
                </c:pt>
                <c:pt idx="23">
                  <c:v>14</c:v>
                </c:pt>
                <c:pt idx="24">
                  <c:v>7</c:v>
                </c:pt>
                <c:pt idx="25">
                  <c:v>49</c:v>
                </c:pt>
                <c:pt idx="26">
                  <c:v>12</c:v>
                </c:pt>
                <c:pt idx="27">
                  <c:v>13</c:v>
                </c:pt>
                <c:pt idx="28">
                  <c:v>20</c:v>
                </c:pt>
                <c:pt idx="29">
                  <c:v>Unknown</c:v>
                </c:pt>
                <c:pt idx="30">
                  <c:v>9</c:v>
                </c:pt>
                <c:pt idx="31">
                  <c:v>12</c:v>
                </c:pt>
                <c:pt idx="32">
                  <c:v>9</c:v>
                </c:pt>
                <c:pt idx="33">
                  <c:v>20</c:v>
                </c:pt>
                <c:pt idx="34">
                  <c:v>32</c:v>
                </c:pt>
                <c:pt idx="35">
                  <c:v>1</c:v>
                </c:pt>
                <c:pt idx="36">
                  <c:v>2</c:v>
                </c:pt>
                <c:pt idx="37">
                  <c:v>36</c:v>
                </c:pt>
                <c:pt idx="38">
                  <c:v>2</c:v>
                </c:pt>
                <c:pt idx="39">
                  <c:v>Unknown</c:v>
                </c:pt>
                <c:pt idx="40">
                  <c:v>Unknown</c:v>
                </c:pt>
                <c:pt idx="41">
                  <c:v>Unknown</c:v>
                </c:pt>
                <c:pt idx="42">
                  <c:v>Unknown</c:v>
                </c:pt>
                <c:pt idx="43">
                  <c:v>Unknown</c:v>
                </c:pt>
                <c:pt idx="44">
                  <c:v>Unknown</c:v>
                </c:pt>
                <c:pt idx="45">
                  <c:v>Unknown</c:v>
                </c:pt>
                <c:pt idx="46">
                  <c:v>Unknown</c:v>
                </c:pt>
                <c:pt idx="47">
                  <c:v>Unknown</c:v>
                </c:pt>
                <c:pt idx="48">
                  <c:v>Unknown</c:v>
                </c:pt>
                <c:pt idx="49">
                  <c:v>Unknown</c:v>
                </c:pt>
                <c:pt idx="50">
                  <c:v>Unknown</c:v>
                </c:pt>
                <c:pt idx="51">
                  <c:v>Unknown</c:v>
                </c:pt>
                <c:pt idx="52">
                  <c:v>Unknown</c:v>
                </c:pt>
                <c:pt idx="53">
                  <c:v>Unknown</c:v>
                </c:pt>
                <c:pt idx="54">
                  <c:v>Unknown</c:v>
                </c:pt>
                <c:pt idx="55">
                  <c:v>Unknown</c:v>
                </c:pt>
                <c:pt idx="56">
                  <c:v>Unknown</c:v>
                </c:pt>
                <c:pt idx="57">
                  <c:v>Unknown</c:v>
                </c:pt>
                <c:pt idx="58">
                  <c:v>Unknown</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Unknown</c:v>
                </c:pt>
                <c:pt idx="75">
                  <c:v>Unknown</c:v>
                </c:pt>
                <c:pt idx="76">
                  <c:v>Unknown</c:v>
                </c:pt>
                <c:pt idx="77">
                  <c:v>Unknown</c:v>
                </c:pt>
                <c:pt idx="78">
                  <c:v>1</c:v>
                </c:pt>
                <c:pt idx="79">
                  <c:v>1</c:v>
                </c:pt>
                <c:pt idx="80">
                  <c:v>Unknown</c:v>
                </c:pt>
                <c:pt idx="81">
                  <c:v>Unknown</c:v>
                </c:pt>
                <c:pt idx="82">
                  <c:v>1</c:v>
                </c:pt>
                <c:pt idx="83">
                  <c:v>Unknown</c:v>
                </c:pt>
                <c:pt idx="84">
                  <c:v>Unknown</c:v>
                </c:pt>
                <c:pt idx="85">
                  <c:v>Unknown</c:v>
                </c:pt>
                <c:pt idx="86">
                  <c:v>Unknown</c:v>
                </c:pt>
                <c:pt idx="87">
                  <c:v>Unknown</c:v>
                </c:pt>
                <c:pt idx="88">
                  <c:v>Unknown</c:v>
                </c:pt>
                <c:pt idx="89">
                  <c:v>Unknown</c:v>
                </c:pt>
                <c:pt idx="90">
                  <c:v>Unknown</c:v>
                </c:pt>
                <c:pt idx="91">
                  <c:v>Unknown</c:v>
                </c:pt>
                <c:pt idx="92">
                  <c:v>Unknown</c:v>
                </c:pt>
                <c:pt idx="93">
                  <c:v>Unknown</c:v>
                </c:pt>
                <c:pt idx="94">
                  <c:v>Unknown</c:v>
                </c:pt>
                <c:pt idx="95">
                  <c:v>Unknown</c:v>
                </c:pt>
                <c:pt idx="96">
                  <c:v>Unknown</c:v>
                </c:pt>
                <c:pt idx="97">
                  <c:v>Unknown</c:v>
                </c:pt>
                <c:pt idx="98">
                  <c:v>Unknown</c:v>
                </c:pt>
                <c:pt idx="99">
                  <c:v>Unknown</c:v>
                </c:pt>
                <c:pt idx="100">
                  <c:v>Unknown</c:v>
                </c:pt>
                <c:pt idx="101">
                  <c:v>1</c:v>
                </c:pt>
                <c:pt idx="102">
                  <c:v>Unknown</c:v>
                </c:pt>
                <c:pt idx="103">
                  <c:v>Unknown</c:v>
                </c:pt>
                <c:pt idx="104">
                  <c:v>Unknown</c:v>
                </c:pt>
                <c:pt idx="105">
                  <c:v>Unknown</c:v>
                </c:pt>
                <c:pt idx="106">
                  <c:v>Unknown</c:v>
                </c:pt>
                <c:pt idx="107">
                  <c:v>Unknown</c:v>
                </c:pt>
                <c:pt idx="108">
                  <c:v>Unknown</c:v>
                </c:pt>
                <c:pt idx="109">
                  <c:v>Unknown</c:v>
                </c:pt>
                <c:pt idx="110">
                  <c:v>1</c:v>
                </c:pt>
                <c:pt idx="111">
                  <c:v>Unknown</c:v>
                </c:pt>
              </c:strCache>
            </c:strRef>
          </c:xVal>
          <c:yVal>
            <c:numRef>
              <c:f>'Trend Analysis'!$I$2:$I$118</c:f>
              <c:numCache>
                <c:formatCode>0.0</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4F16-4BE2-BFDF-4D44158C7CA1}"/>
            </c:ext>
          </c:extLst>
        </c:ser>
        <c:dLbls>
          <c:showLegendKey val="0"/>
          <c:showVal val="0"/>
          <c:showCatName val="0"/>
          <c:showSerName val="0"/>
          <c:showPercent val="0"/>
          <c:showBubbleSize val="0"/>
        </c:dLbls>
        <c:axId val="1679535264"/>
        <c:axId val="1679540064"/>
      </c:scatterChart>
      <c:valAx>
        <c:axId val="1679535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40064"/>
        <c:crosses val="autoZero"/>
        <c:crossBetween val="midCat"/>
      </c:valAx>
      <c:valAx>
        <c:axId val="1679540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352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Analysis'!$I$1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'Trend Analysis'!$B$2:$B$118</c:f>
              <c:numCache>
                <c:formatCode>[$KES]\ #,##0</c:formatCode>
                <c:ptCount val="117"/>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'Trend Analysis'!$I$2:$I$118</c:f>
              <c:numCache>
                <c:formatCode>0.0</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0-3DAC-47FD-9A46-B4A824C4BA66}"/>
            </c:ext>
          </c:extLst>
        </c:ser>
        <c:dLbls>
          <c:showLegendKey val="0"/>
          <c:showVal val="0"/>
          <c:showCatName val="0"/>
          <c:showSerName val="0"/>
          <c:showPercent val="0"/>
          <c:showBubbleSize val="0"/>
        </c:dLbls>
        <c:axId val="1679587104"/>
        <c:axId val="1679589024"/>
      </c:scatterChart>
      <c:valAx>
        <c:axId val="1679587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89024"/>
        <c:crosses val="autoZero"/>
        <c:crossBetween val="midCat"/>
      </c:valAx>
      <c:valAx>
        <c:axId val="1679589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87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[Excel-Jumia-Dashboard-project.xlsx]Product Performance Section!PivotTable2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 Section'!$B$3</c:f>
              <c:strCache>
                <c:ptCount val="1"/>
                <c:pt idx="0">
                  <c:v>Total</c:v>
                </c:pt>
              </c:strCache>
            </c:strRef>
          </c:tx>
          <c:spPr>
            <a:solidFill>
              <a:schemeClr val="accent1"/>
            </a:solidFill>
            <a:ln>
              <a:noFill/>
            </a:ln>
            <a:effectLst/>
          </c:spPr>
          <c:invertIfNegative val="0"/>
          <c:cat>
            <c:strRef>
              <c:f>'Product Performance Section'!$A$4:$A$14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'Product Performance Section'!$B$4:$B$14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D8B5-41A6-AC9E-A8BC5286E777}"/>
            </c:ext>
          </c:extLst>
        </c:ser>
        <c:dLbls>
          <c:showLegendKey val="0"/>
          <c:showVal val="0"/>
          <c:showCatName val="0"/>
          <c:showSerName val="0"/>
          <c:showPercent val="0"/>
          <c:showBubbleSize val="0"/>
        </c:dLbls>
        <c:gapWidth val="182"/>
        <c:axId val="1679513664"/>
        <c:axId val="1679515104"/>
      </c:barChart>
      <c:catAx>
        <c:axId val="1679513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5104"/>
        <c:crosses val="autoZero"/>
        <c:auto val="1"/>
        <c:lblAlgn val="ctr"/>
        <c:lblOffset val="100"/>
        <c:noMultiLvlLbl val="0"/>
      </c:catAx>
      <c:valAx>
        <c:axId val="1679515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[Excel-Jumia-Dashboard-project.xlsx]Product Performance Section!PivotTable3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produts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 Section'!$B$24</c:f>
              <c:strCache>
                <c:ptCount val="1"/>
                <c:pt idx="0">
                  <c:v>Total</c:v>
                </c:pt>
              </c:strCache>
            </c:strRef>
          </c:tx>
          <c:spPr>
            <a:solidFill>
              <a:schemeClr val="accent1"/>
            </a:solidFill>
            <a:ln>
              <a:noFill/>
            </a:ln>
            <a:effectLst/>
          </c:spPr>
          <c:invertIfNegative val="0"/>
          <c:cat>
            <c:strRef>
              <c:f>'Product Performance Section'!$A$25:$A$35</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 Performance Section'!$B$25:$B$35</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EFE4-444E-96AC-C87E528F2718}"/>
            </c:ext>
          </c:extLst>
        </c:ser>
        <c:dLbls>
          <c:showLegendKey val="0"/>
          <c:showVal val="0"/>
          <c:showCatName val="0"/>
          <c:showSerName val="0"/>
          <c:showPercent val="0"/>
          <c:showBubbleSize val="0"/>
        </c:dLbls>
        <c:gapWidth val="182"/>
        <c:axId val="1679519424"/>
        <c:axId val="1679517504"/>
      </c:barChart>
      <c:catAx>
        <c:axId val="1679519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7504"/>
        <c:crosses val="autoZero"/>
        <c:auto val="1"/>
        <c:lblAlgn val="ctr"/>
        <c:lblOffset val="100"/>
        <c:noMultiLvlLbl val="0"/>
      </c:catAx>
      <c:valAx>
        <c:axId val="1679517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[Excel-Jumia-Dashboard-project.xlsx]Product Performance Section!PivotTable4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 percentages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 Section'!$B$45</c:f>
              <c:strCache>
                <c:ptCount val="1"/>
                <c:pt idx="0">
                  <c:v>Total</c:v>
                </c:pt>
              </c:strCache>
            </c:strRef>
          </c:tx>
          <c:spPr>
            <a:solidFill>
              <a:schemeClr val="accent1"/>
            </a:solidFill>
            <a:ln>
              <a:noFill/>
            </a:ln>
            <a:effectLst/>
          </c:spPr>
          <c:invertIfNegative val="0"/>
          <c:cat>
            <c:strRef>
              <c:f>'Product Performance Section'!$A$46:$A$56</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'Product Performance Section'!$B$46:$B$56</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AFBD-4391-9C9F-4E04E42F50F2}"/>
            </c:ext>
          </c:extLst>
        </c:ser>
        <c:dLbls>
          <c:showLegendKey val="0"/>
          <c:showVal val="0"/>
          <c:showCatName val="0"/>
          <c:showSerName val="0"/>
          <c:showPercent val="0"/>
          <c:showBubbleSize val="0"/>
        </c:dLbls>
        <c:gapWidth val="182"/>
        <c:axId val="1679549664"/>
        <c:axId val="1679555424"/>
      </c:barChart>
      <c:catAx>
        <c:axId val="1679549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55424"/>
        <c:crosses val="autoZero"/>
        <c:auto val="1"/>
        <c:lblAlgn val="ctr"/>
        <c:lblOffset val="100"/>
        <c:noMultiLvlLbl val="0"/>
      </c:catAx>
      <c:valAx>
        <c:axId val="1679555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4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[Excel-Jumia-Dashboard-project.xlsx]Product Performance Section!PivotTable2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 Section'!$B$3</c:f>
              <c:strCache>
                <c:ptCount val="1"/>
                <c:pt idx="0">
                  <c:v>Total</c:v>
                </c:pt>
              </c:strCache>
            </c:strRef>
          </c:tx>
          <c:spPr>
            <a:solidFill>
              <a:schemeClr val="accent1"/>
            </a:solidFill>
            <a:ln>
              <a:noFill/>
            </a:ln>
            <a:effectLst/>
          </c:spPr>
          <c:invertIfNegative val="0"/>
          <c:cat>
            <c:strRef>
              <c:f>'Product Performance Section'!$A$4:$A$14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'Product Performance Section'!$B$4:$B$14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BFD7-4C27-A183-3A2ADAA6E5C4}"/>
            </c:ext>
          </c:extLst>
        </c:ser>
        <c:dLbls>
          <c:showLegendKey val="0"/>
          <c:showVal val="0"/>
          <c:showCatName val="0"/>
          <c:showSerName val="0"/>
          <c:showPercent val="0"/>
          <c:showBubbleSize val="0"/>
        </c:dLbls>
        <c:gapWidth val="182"/>
        <c:axId val="1679513664"/>
        <c:axId val="1679515104"/>
      </c:barChart>
      <c:catAx>
        <c:axId val="1679513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5104"/>
        <c:crosses val="autoZero"/>
        <c:auto val="1"/>
        <c:lblAlgn val="ctr"/>
        <c:lblOffset val="100"/>
        <c:noMultiLvlLbl val="0"/>
      </c:catAx>
      <c:valAx>
        <c:axId val="1679515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3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[Excel-Jumia-Dashboard-project.xlsx]Product Performance Section!PivotTable3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produts By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 Section'!$B$24</c:f>
              <c:strCache>
                <c:ptCount val="1"/>
                <c:pt idx="0">
                  <c:v>Total</c:v>
                </c:pt>
              </c:strCache>
            </c:strRef>
          </c:tx>
          <c:spPr>
            <a:solidFill>
              <a:schemeClr val="accent1"/>
            </a:solidFill>
            <a:ln>
              <a:noFill/>
            </a:ln>
            <a:effectLst/>
          </c:spPr>
          <c:invertIfNegative val="0"/>
          <c:cat>
            <c:strRef>
              <c:f>'Product Performance Section'!$A$25:$A$35</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 Performance Section'!$B$25:$B$35</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27BE-463F-8438-895D21E30363}"/>
            </c:ext>
          </c:extLst>
        </c:ser>
        <c:dLbls>
          <c:showLegendKey val="0"/>
          <c:showVal val="0"/>
          <c:showCatName val="0"/>
          <c:showSerName val="0"/>
          <c:showPercent val="0"/>
          <c:showBubbleSize val="0"/>
        </c:dLbls>
        <c:gapWidth val="182"/>
        <c:axId val="1679519424"/>
        <c:axId val="1679517504"/>
      </c:barChart>
      <c:catAx>
        <c:axId val="16795194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7504"/>
        <c:crosses val="autoZero"/>
        <c:auto val="1"/>
        <c:lblAlgn val="ctr"/>
        <c:lblOffset val="100"/>
        <c:noMultiLvlLbl val="0"/>
      </c:catAx>
      <c:valAx>
        <c:axId val="16795175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1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[Excel-Jumia-Dashboard-project.xlsx]Product Performance Section!PivotTable4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by Discount percentages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 Section'!$B$45</c:f>
              <c:strCache>
                <c:ptCount val="1"/>
                <c:pt idx="0">
                  <c:v>Total</c:v>
                </c:pt>
              </c:strCache>
            </c:strRef>
          </c:tx>
          <c:spPr>
            <a:solidFill>
              <a:schemeClr val="accent1"/>
            </a:solidFill>
            <a:ln>
              <a:noFill/>
            </a:ln>
            <a:effectLst/>
          </c:spPr>
          <c:invertIfNegative val="0"/>
          <c:cat>
            <c:strRef>
              <c:f>'Product Performance Section'!$A$46:$A$56</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'Product Performance Section'!$B$46:$B$56</c:f>
              <c:numCache>
                <c:formatCode>0%</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8CB3-46F8-88F9-6F9C6ED47372}"/>
            </c:ext>
          </c:extLst>
        </c:ser>
        <c:dLbls>
          <c:showLegendKey val="0"/>
          <c:showVal val="0"/>
          <c:showCatName val="0"/>
          <c:showSerName val="0"/>
          <c:showPercent val="0"/>
          <c:showBubbleSize val="0"/>
        </c:dLbls>
        <c:gapWidth val="182"/>
        <c:axId val="1679549664"/>
        <c:axId val="1679555424"/>
      </c:barChart>
      <c:catAx>
        <c:axId val="16795496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55424"/>
        <c:crosses val="autoZero"/>
        <c:auto val="1"/>
        <c:lblAlgn val="ctr"/>
        <c:lblOffset val="100"/>
        <c:noMultiLvlLbl val="0"/>
      </c:catAx>
      <c:valAx>
        <c:axId val="1679555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4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Review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Analysis'!$H$1</c:f>
              <c:strCache>
                <c:ptCount val="1"/>
                <c:pt idx="0">
                  <c:v>Review</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'Trend Analysis'!$F$2:$F$118</c:f>
              <c:numCache>
                <c:formatCode>0%</c:formatCode>
                <c:ptCount val="117"/>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0.38</c:v>
                </c:pt>
                <c:pt idx="40">
                  <c:v>0.49</c:v>
                </c:pt>
                <c:pt idx="41">
                  <c:v>0.5</c:v>
                </c:pt>
                <c:pt idx="42">
                  <c:v>0.42</c:v>
                </c:pt>
                <c:pt idx="43">
                  <c:v>0.02</c:v>
                </c:pt>
                <c:pt idx="44">
                  <c:v>0.5</c:v>
                </c:pt>
                <c:pt idx="45">
                  <c:v>0.33</c:v>
                </c:pt>
                <c:pt idx="46">
                  <c:v>0.49</c:v>
                </c:pt>
                <c:pt idx="47">
                  <c:v>0.38</c:v>
                </c:pt>
                <c:pt idx="48">
                  <c:v>0.61</c:v>
                </c:pt>
                <c:pt idx="49">
                  <c:v>0.5</c:v>
                </c:pt>
                <c:pt idx="50">
                  <c:v>0.02</c:v>
                </c:pt>
                <c:pt idx="51">
                  <c:v>0.22</c:v>
                </c:pt>
                <c:pt idx="52">
                  <c:v>0.03</c:v>
                </c:pt>
                <c:pt idx="53">
                  <c:v>0.41</c:v>
                </c:pt>
                <c:pt idx="54">
                  <c:v>0.45</c:v>
                </c:pt>
                <c:pt idx="55">
                  <c:v>0.48</c:v>
                </c:pt>
                <c:pt idx="56">
                  <c:v>0.49</c:v>
                </c:pt>
                <c:pt idx="57">
                  <c:v>0.27</c:v>
                </c:pt>
                <c:pt idx="58">
                  <c:v>0.55000000000000004</c:v>
                </c:pt>
                <c:pt idx="59">
                  <c:v>0.13</c:v>
                </c:pt>
                <c:pt idx="60">
                  <c:v>0.54</c:v>
                </c:pt>
                <c:pt idx="61">
                  <c:v>0.55000000000000004</c:v>
                </c:pt>
                <c:pt idx="62">
                  <c:v>0.49</c:v>
                </c:pt>
                <c:pt idx="63">
                  <c:v>0.52</c:v>
                </c:pt>
                <c:pt idx="64">
                  <c:v>0.22</c:v>
                </c:pt>
                <c:pt idx="65">
                  <c:v>0.45</c:v>
                </c:pt>
                <c:pt idx="66">
                  <c:v>0.5</c:v>
                </c:pt>
                <c:pt idx="67">
                  <c:v>0.39</c:v>
                </c:pt>
                <c:pt idx="68">
                  <c:v>0.45</c:v>
                </c:pt>
                <c:pt idx="69">
                  <c:v>0.28999999999999998</c:v>
                </c:pt>
                <c:pt idx="70">
                  <c:v>0.43</c:v>
                </c:pt>
                <c:pt idx="71">
                  <c:v>0.43</c:v>
                </c:pt>
                <c:pt idx="72">
                  <c:v>0.47</c:v>
                </c:pt>
                <c:pt idx="73">
                  <c:v>0.47</c:v>
                </c:pt>
                <c:pt idx="74">
                  <c:v>0.47</c:v>
                </c:pt>
                <c:pt idx="75">
                  <c:v>0.43</c:v>
                </c:pt>
                <c:pt idx="76">
                  <c:v>0.04</c:v>
                </c:pt>
                <c:pt idx="77">
                  <c:v>0.49</c:v>
                </c:pt>
                <c:pt idx="78">
                  <c:v>0.46</c:v>
                </c:pt>
                <c:pt idx="79">
                  <c:v>0.49</c:v>
                </c:pt>
                <c:pt idx="80">
                  <c:v>0.36</c:v>
                </c:pt>
                <c:pt idx="81">
                  <c:v>0.02</c:v>
                </c:pt>
                <c:pt idx="82">
                  <c:v>0.49</c:v>
                </c:pt>
                <c:pt idx="83">
                  <c:v>0.49</c:v>
                </c:pt>
                <c:pt idx="84">
                  <c:v>0.14000000000000001</c:v>
                </c:pt>
                <c:pt idx="85">
                  <c:v>0.49</c:v>
                </c:pt>
                <c:pt idx="86">
                  <c:v>0.11</c:v>
                </c:pt>
                <c:pt idx="87">
                  <c:v>0.49</c:v>
                </c:pt>
                <c:pt idx="88">
                  <c:v>0.14000000000000001</c:v>
                </c:pt>
                <c:pt idx="89">
                  <c:v>0.43</c:v>
                </c:pt>
                <c:pt idx="90">
                  <c:v>0.5</c:v>
                </c:pt>
                <c:pt idx="91">
                  <c:v>0.48</c:v>
                </c:pt>
                <c:pt idx="92">
                  <c:v>0.48</c:v>
                </c:pt>
                <c:pt idx="93">
                  <c:v>0.47</c:v>
                </c:pt>
                <c:pt idx="94">
                  <c:v>0.5</c:v>
                </c:pt>
                <c:pt idx="95">
                  <c:v>0.08</c:v>
                </c:pt>
                <c:pt idx="96">
                  <c:v>0.02</c:v>
                </c:pt>
                <c:pt idx="97">
                  <c:v>0.49</c:v>
                </c:pt>
                <c:pt idx="98">
                  <c:v>0.04</c:v>
                </c:pt>
                <c:pt idx="99">
                  <c:v>0.49</c:v>
                </c:pt>
                <c:pt idx="100">
                  <c:v>0.42</c:v>
                </c:pt>
                <c:pt idx="101">
                  <c:v>0.21</c:v>
                </c:pt>
                <c:pt idx="102">
                  <c:v>0.41</c:v>
                </c:pt>
                <c:pt idx="103">
                  <c:v>0.01</c:v>
                </c:pt>
                <c:pt idx="104">
                  <c:v>0.24</c:v>
                </c:pt>
                <c:pt idx="105">
                  <c:v>0.34</c:v>
                </c:pt>
                <c:pt idx="106">
                  <c:v>0.34</c:v>
                </c:pt>
                <c:pt idx="107">
                  <c:v>0.02</c:v>
                </c:pt>
                <c:pt idx="108">
                  <c:v>0.02</c:v>
                </c:pt>
                <c:pt idx="109">
                  <c:v>0.64</c:v>
                </c:pt>
                <c:pt idx="110">
                  <c:v>0.5</c:v>
                </c:pt>
                <c:pt idx="111">
                  <c:v>0.47</c:v>
                </c:pt>
              </c:numCache>
            </c:numRef>
          </c:xVal>
          <c:yVal>
            <c:numRef>
              <c:f>'Trend Analysis'!$H$2:$H$118</c:f>
              <c:numCache>
                <c:formatCode>0</c:formatCode>
                <c:ptCount val="11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0</c:v>
                </c:pt>
                <c:pt idx="22">
                  <c:v>6</c:v>
                </c:pt>
                <c:pt idx="23">
                  <c:v>14</c:v>
                </c:pt>
                <c:pt idx="24">
                  <c:v>7</c:v>
                </c:pt>
                <c:pt idx="25">
                  <c:v>49</c:v>
                </c:pt>
                <c:pt idx="26">
                  <c:v>12</c:v>
                </c:pt>
                <c:pt idx="27">
                  <c:v>13</c:v>
                </c:pt>
                <c:pt idx="28">
                  <c:v>20</c:v>
                </c:pt>
                <c:pt idx="29">
                  <c:v>0</c:v>
                </c:pt>
                <c:pt idx="30">
                  <c:v>9</c:v>
                </c:pt>
                <c:pt idx="31">
                  <c:v>12</c:v>
                </c:pt>
                <c:pt idx="32">
                  <c:v>9</c:v>
                </c:pt>
                <c:pt idx="33">
                  <c:v>20</c:v>
                </c:pt>
                <c:pt idx="34">
                  <c:v>32</c:v>
                </c:pt>
                <c:pt idx="35">
                  <c:v>1</c:v>
                </c:pt>
                <c:pt idx="36">
                  <c:v>2</c:v>
                </c:pt>
                <c:pt idx="37">
                  <c:v>36</c:v>
                </c:pt>
                <c:pt idx="38">
                  <c:v>2</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0</c:v>
                </c:pt>
                <c:pt idx="75">
                  <c:v>0</c:v>
                </c:pt>
                <c:pt idx="76">
                  <c:v>0</c:v>
                </c:pt>
                <c:pt idx="77">
                  <c:v>0</c:v>
                </c:pt>
                <c:pt idx="78">
                  <c:v>1</c:v>
                </c:pt>
                <c:pt idx="79">
                  <c:v>1</c:v>
                </c:pt>
                <c:pt idx="80">
                  <c:v>0</c:v>
                </c:pt>
                <c:pt idx="81">
                  <c:v>0</c:v>
                </c:pt>
                <c:pt idx="82">
                  <c:v>1</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c:v>
                </c:pt>
                <c:pt idx="102">
                  <c:v>0</c:v>
                </c:pt>
                <c:pt idx="103">
                  <c:v>0</c:v>
                </c:pt>
                <c:pt idx="104">
                  <c:v>0</c:v>
                </c:pt>
                <c:pt idx="105">
                  <c:v>0</c:v>
                </c:pt>
                <c:pt idx="106">
                  <c:v>0</c:v>
                </c:pt>
                <c:pt idx="107">
                  <c:v>0</c:v>
                </c:pt>
                <c:pt idx="108">
                  <c:v>0</c:v>
                </c:pt>
                <c:pt idx="109">
                  <c:v>0</c:v>
                </c:pt>
                <c:pt idx="110">
                  <c:v>1</c:v>
                </c:pt>
                <c:pt idx="111">
                  <c:v>0</c:v>
                </c:pt>
              </c:numCache>
            </c:numRef>
          </c:yVal>
          <c:smooth val="0"/>
          <c:extLst>
            <c:ext xmlns:c16="http://schemas.microsoft.com/office/drawing/2014/chart" uri="{C3380CC4-5D6E-409C-BE32-E72D297353CC}">
              <c16:uniqueId val="{00000001-29D8-425F-96AC-23A80510649C}"/>
            </c:ext>
          </c:extLst>
        </c:ser>
        <c:dLbls>
          <c:showLegendKey val="0"/>
          <c:showVal val="0"/>
          <c:showCatName val="0"/>
          <c:showSerName val="0"/>
          <c:showPercent val="0"/>
          <c:showBubbleSize val="0"/>
        </c:dLbls>
        <c:axId val="1679543904"/>
        <c:axId val="1679544384"/>
      </c:scatterChart>
      <c:valAx>
        <c:axId val="16795439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Discount</a:t>
                </a:r>
                <a:r>
                  <a:rPr lang="en-US" baseline="0"/>
                  <a:t> in percentage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44384"/>
        <c:crosses val="autoZero"/>
        <c:crossBetween val="midCat"/>
      </c:valAx>
      <c:valAx>
        <c:axId val="1679544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439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Vs Review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Analysis'!$I$1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strRef>
              <c:f>'Trend Analysis'!$H$2:$H$118</c:f>
              <c:strCache>
                <c:ptCount val="112"/>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Unknown</c:v>
                </c:pt>
                <c:pt idx="22">
                  <c:v>6</c:v>
                </c:pt>
                <c:pt idx="23">
                  <c:v>14</c:v>
                </c:pt>
                <c:pt idx="24">
                  <c:v>7</c:v>
                </c:pt>
                <c:pt idx="25">
                  <c:v>49</c:v>
                </c:pt>
                <c:pt idx="26">
                  <c:v>12</c:v>
                </c:pt>
                <c:pt idx="27">
                  <c:v>13</c:v>
                </c:pt>
                <c:pt idx="28">
                  <c:v>20</c:v>
                </c:pt>
                <c:pt idx="29">
                  <c:v>Unknown</c:v>
                </c:pt>
                <c:pt idx="30">
                  <c:v>9</c:v>
                </c:pt>
                <c:pt idx="31">
                  <c:v>12</c:v>
                </c:pt>
                <c:pt idx="32">
                  <c:v>9</c:v>
                </c:pt>
                <c:pt idx="33">
                  <c:v>20</c:v>
                </c:pt>
                <c:pt idx="34">
                  <c:v>32</c:v>
                </c:pt>
                <c:pt idx="35">
                  <c:v>1</c:v>
                </c:pt>
                <c:pt idx="36">
                  <c:v>2</c:v>
                </c:pt>
                <c:pt idx="37">
                  <c:v>36</c:v>
                </c:pt>
                <c:pt idx="38">
                  <c:v>2</c:v>
                </c:pt>
                <c:pt idx="39">
                  <c:v>Unknown</c:v>
                </c:pt>
                <c:pt idx="40">
                  <c:v>Unknown</c:v>
                </c:pt>
                <c:pt idx="41">
                  <c:v>Unknown</c:v>
                </c:pt>
                <c:pt idx="42">
                  <c:v>Unknown</c:v>
                </c:pt>
                <c:pt idx="43">
                  <c:v>Unknown</c:v>
                </c:pt>
                <c:pt idx="44">
                  <c:v>Unknown</c:v>
                </c:pt>
                <c:pt idx="45">
                  <c:v>Unknown</c:v>
                </c:pt>
                <c:pt idx="46">
                  <c:v>Unknown</c:v>
                </c:pt>
                <c:pt idx="47">
                  <c:v>Unknown</c:v>
                </c:pt>
                <c:pt idx="48">
                  <c:v>Unknown</c:v>
                </c:pt>
                <c:pt idx="49">
                  <c:v>Unknown</c:v>
                </c:pt>
                <c:pt idx="50">
                  <c:v>Unknown</c:v>
                </c:pt>
                <c:pt idx="51">
                  <c:v>Unknown</c:v>
                </c:pt>
                <c:pt idx="52">
                  <c:v>Unknown</c:v>
                </c:pt>
                <c:pt idx="53">
                  <c:v>Unknown</c:v>
                </c:pt>
                <c:pt idx="54">
                  <c:v>Unknown</c:v>
                </c:pt>
                <c:pt idx="55">
                  <c:v>Unknown</c:v>
                </c:pt>
                <c:pt idx="56">
                  <c:v>Unknown</c:v>
                </c:pt>
                <c:pt idx="57">
                  <c:v>Unknown</c:v>
                </c:pt>
                <c:pt idx="58">
                  <c:v>Unknown</c:v>
                </c:pt>
                <c:pt idx="59">
                  <c:v>6</c:v>
                </c:pt>
                <c:pt idx="60">
                  <c:v>10</c:v>
                </c:pt>
                <c:pt idx="61">
                  <c:v>13</c:v>
                </c:pt>
                <c:pt idx="62">
                  <c:v>69</c:v>
                </c:pt>
                <c:pt idx="63">
                  <c:v>15</c:v>
                </c:pt>
                <c:pt idx="64">
                  <c:v>16</c:v>
                </c:pt>
                <c:pt idx="65">
                  <c:v>6</c:v>
                </c:pt>
                <c:pt idx="66">
                  <c:v>7</c:v>
                </c:pt>
                <c:pt idx="67">
                  <c:v>5</c:v>
                </c:pt>
                <c:pt idx="68">
                  <c:v>17</c:v>
                </c:pt>
                <c:pt idx="69">
                  <c:v>5</c:v>
                </c:pt>
                <c:pt idx="70">
                  <c:v>6</c:v>
                </c:pt>
                <c:pt idx="71">
                  <c:v>5</c:v>
                </c:pt>
                <c:pt idx="72">
                  <c:v>6</c:v>
                </c:pt>
                <c:pt idx="73">
                  <c:v>7</c:v>
                </c:pt>
                <c:pt idx="74">
                  <c:v>Unknown</c:v>
                </c:pt>
                <c:pt idx="75">
                  <c:v>Unknown</c:v>
                </c:pt>
                <c:pt idx="76">
                  <c:v>Unknown</c:v>
                </c:pt>
                <c:pt idx="77">
                  <c:v>Unknown</c:v>
                </c:pt>
                <c:pt idx="78">
                  <c:v>1</c:v>
                </c:pt>
                <c:pt idx="79">
                  <c:v>1</c:v>
                </c:pt>
                <c:pt idx="80">
                  <c:v>Unknown</c:v>
                </c:pt>
                <c:pt idx="81">
                  <c:v>Unknown</c:v>
                </c:pt>
                <c:pt idx="82">
                  <c:v>1</c:v>
                </c:pt>
                <c:pt idx="83">
                  <c:v>Unknown</c:v>
                </c:pt>
                <c:pt idx="84">
                  <c:v>Unknown</c:v>
                </c:pt>
                <c:pt idx="85">
                  <c:v>Unknown</c:v>
                </c:pt>
                <c:pt idx="86">
                  <c:v>Unknown</c:v>
                </c:pt>
                <c:pt idx="87">
                  <c:v>Unknown</c:v>
                </c:pt>
                <c:pt idx="88">
                  <c:v>Unknown</c:v>
                </c:pt>
                <c:pt idx="89">
                  <c:v>Unknown</c:v>
                </c:pt>
                <c:pt idx="90">
                  <c:v>Unknown</c:v>
                </c:pt>
                <c:pt idx="91">
                  <c:v>Unknown</c:v>
                </c:pt>
                <c:pt idx="92">
                  <c:v>Unknown</c:v>
                </c:pt>
                <c:pt idx="93">
                  <c:v>Unknown</c:v>
                </c:pt>
                <c:pt idx="94">
                  <c:v>Unknown</c:v>
                </c:pt>
                <c:pt idx="95">
                  <c:v>Unknown</c:v>
                </c:pt>
                <c:pt idx="96">
                  <c:v>Unknown</c:v>
                </c:pt>
                <c:pt idx="97">
                  <c:v>Unknown</c:v>
                </c:pt>
                <c:pt idx="98">
                  <c:v>Unknown</c:v>
                </c:pt>
                <c:pt idx="99">
                  <c:v>Unknown</c:v>
                </c:pt>
                <c:pt idx="100">
                  <c:v>Unknown</c:v>
                </c:pt>
                <c:pt idx="101">
                  <c:v>1</c:v>
                </c:pt>
                <c:pt idx="102">
                  <c:v>Unknown</c:v>
                </c:pt>
                <c:pt idx="103">
                  <c:v>Unknown</c:v>
                </c:pt>
                <c:pt idx="104">
                  <c:v>Unknown</c:v>
                </c:pt>
                <c:pt idx="105">
                  <c:v>Unknown</c:v>
                </c:pt>
                <c:pt idx="106">
                  <c:v>Unknown</c:v>
                </c:pt>
                <c:pt idx="107">
                  <c:v>Unknown</c:v>
                </c:pt>
                <c:pt idx="108">
                  <c:v>Unknown</c:v>
                </c:pt>
                <c:pt idx="109">
                  <c:v>Unknown</c:v>
                </c:pt>
                <c:pt idx="110">
                  <c:v>1</c:v>
                </c:pt>
                <c:pt idx="111">
                  <c:v>Unknown</c:v>
                </c:pt>
              </c:strCache>
            </c:strRef>
          </c:xVal>
          <c:yVal>
            <c:numRef>
              <c:f>'Trend Analysis'!$I$2:$I$118</c:f>
              <c:numCache>
                <c:formatCode>0.0</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1-061A-4EE0-A045-8A78A908DBA6}"/>
            </c:ext>
          </c:extLst>
        </c:ser>
        <c:dLbls>
          <c:showLegendKey val="0"/>
          <c:showVal val="0"/>
          <c:showCatName val="0"/>
          <c:showSerName val="0"/>
          <c:showPercent val="0"/>
          <c:showBubbleSize val="0"/>
        </c:dLbls>
        <c:axId val="1679535264"/>
        <c:axId val="1679540064"/>
      </c:scatterChart>
      <c:valAx>
        <c:axId val="16795352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Review</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40064"/>
        <c:crosses val="autoZero"/>
        <c:crossBetween val="midCat"/>
      </c:valAx>
      <c:valAx>
        <c:axId val="1679540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352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'Trend Analysis'!$I$1</c:f>
              <c:strCache>
                <c:ptCount val="1"/>
                <c:pt idx="0">
                  <c:v>Rating</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'Trend Analysis'!$B$2:$B$118</c:f>
              <c:numCache>
                <c:formatCode>[$KES]\ #,##0</c:formatCode>
                <c:ptCount val="117"/>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1860</c:v>
                </c:pt>
                <c:pt idx="22">
                  <c:v>880</c:v>
                </c:pt>
                <c:pt idx="23">
                  <c:v>1650</c:v>
                </c:pt>
                <c:pt idx="24">
                  <c:v>2048</c:v>
                </c:pt>
                <c:pt idx="25">
                  <c:v>420</c:v>
                </c:pt>
                <c:pt idx="26">
                  <c:v>2880</c:v>
                </c:pt>
                <c:pt idx="27">
                  <c:v>1350</c:v>
                </c:pt>
                <c:pt idx="28">
                  <c:v>1758</c:v>
                </c:pt>
                <c:pt idx="29">
                  <c:v>2200</c:v>
                </c:pt>
                <c:pt idx="30">
                  <c:v>185</c:v>
                </c:pt>
                <c:pt idx="31">
                  <c:v>980</c:v>
                </c:pt>
                <c:pt idx="32">
                  <c:v>1820</c:v>
                </c:pt>
                <c:pt idx="33">
                  <c:v>1940</c:v>
                </c:pt>
                <c:pt idx="34">
                  <c:v>1980</c:v>
                </c:pt>
                <c:pt idx="35">
                  <c:v>1620</c:v>
                </c:pt>
                <c:pt idx="36">
                  <c:v>171</c:v>
                </c:pt>
                <c:pt idx="37">
                  <c:v>389</c:v>
                </c:pt>
                <c:pt idx="38">
                  <c:v>1800</c:v>
                </c:pt>
                <c:pt idx="39">
                  <c:v>2750</c:v>
                </c:pt>
                <c:pt idx="40">
                  <c:v>475</c:v>
                </c:pt>
                <c:pt idx="41">
                  <c:v>238</c:v>
                </c:pt>
                <c:pt idx="42">
                  <c:v>610</c:v>
                </c:pt>
                <c:pt idx="43">
                  <c:v>2132</c:v>
                </c:pt>
                <c:pt idx="44">
                  <c:v>999</c:v>
                </c:pt>
                <c:pt idx="45">
                  <c:v>1190</c:v>
                </c:pt>
                <c:pt idx="46">
                  <c:v>671</c:v>
                </c:pt>
                <c:pt idx="47">
                  <c:v>1200</c:v>
                </c:pt>
                <c:pt idx="48">
                  <c:v>199</c:v>
                </c:pt>
                <c:pt idx="49">
                  <c:v>299</c:v>
                </c:pt>
                <c:pt idx="50">
                  <c:v>1660</c:v>
                </c:pt>
                <c:pt idx="51">
                  <c:v>299</c:v>
                </c:pt>
                <c:pt idx="52">
                  <c:v>1459</c:v>
                </c:pt>
                <c:pt idx="53">
                  <c:v>799</c:v>
                </c:pt>
                <c:pt idx="54">
                  <c:v>499</c:v>
                </c:pt>
                <c:pt idx="55">
                  <c:v>699</c:v>
                </c:pt>
                <c:pt idx="56">
                  <c:v>799</c:v>
                </c:pt>
                <c:pt idx="57">
                  <c:v>2799</c:v>
                </c:pt>
                <c:pt idx="58">
                  <c:v>399</c:v>
                </c:pt>
                <c:pt idx="59">
                  <c:v>2170</c:v>
                </c:pt>
                <c:pt idx="60">
                  <c:v>458</c:v>
                </c:pt>
                <c:pt idx="61">
                  <c:v>2115</c:v>
                </c:pt>
                <c:pt idx="62">
                  <c:v>445</c:v>
                </c:pt>
                <c:pt idx="63">
                  <c:v>325</c:v>
                </c:pt>
                <c:pt idx="64">
                  <c:v>1220</c:v>
                </c:pt>
                <c:pt idx="65">
                  <c:v>990</c:v>
                </c:pt>
                <c:pt idx="66">
                  <c:v>1000</c:v>
                </c:pt>
                <c:pt idx="67">
                  <c:v>3750</c:v>
                </c:pt>
                <c:pt idx="68">
                  <c:v>382</c:v>
                </c:pt>
                <c:pt idx="69">
                  <c:v>2300</c:v>
                </c:pt>
                <c:pt idx="70">
                  <c:v>345</c:v>
                </c:pt>
                <c:pt idx="71">
                  <c:v>509</c:v>
                </c:pt>
                <c:pt idx="72">
                  <c:v>968</c:v>
                </c:pt>
                <c:pt idx="73">
                  <c:v>1570</c:v>
                </c:pt>
                <c:pt idx="74">
                  <c:v>790</c:v>
                </c:pt>
                <c:pt idx="75">
                  <c:v>690</c:v>
                </c:pt>
                <c:pt idx="76">
                  <c:v>1732</c:v>
                </c:pt>
                <c:pt idx="77">
                  <c:v>230</c:v>
                </c:pt>
                <c:pt idx="78">
                  <c:v>1189</c:v>
                </c:pt>
                <c:pt idx="79">
                  <c:v>979</c:v>
                </c:pt>
                <c:pt idx="80">
                  <c:v>1460</c:v>
                </c:pt>
                <c:pt idx="81">
                  <c:v>1666</c:v>
                </c:pt>
                <c:pt idx="82">
                  <c:v>330</c:v>
                </c:pt>
                <c:pt idx="83">
                  <c:v>176</c:v>
                </c:pt>
                <c:pt idx="84">
                  <c:v>1466</c:v>
                </c:pt>
                <c:pt idx="85">
                  <c:v>274</c:v>
                </c:pt>
                <c:pt idx="86">
                  <c:v>799</c:v>
                </c:pt>
                <c:pt idx="87">
                  <c:v>657</c:v>
                </c:pt>
                <c:pt idx="88">
                  <c:v>1468</c:v>
                </c:pt>
                <c:pt idx="89">
                  <c:v>630</c:v>
                </c:pt>
                <c:pt idx="90">
                  <c:v>850</c:v>
                </c:pt>
                <c:pt idx="91">
                  <c:v>1300</c:v>
                </c:pt>
                <c:pt idx="92">
                  <c:v>105</c:v>
                </c:pt>
                <c:pt idx="93">
                  <c:v>899</c:v>
                </c:pt>
                <c:pt idx="94">
                  <c:v>1200</c:v>
                </c:pt>
                <c:pt idx="95">
                  <c:v>1526</c:v>
                </c:pt>
                <c:pt idx="96">
                  <c:v>1462</c:v>
                </c:pt>
                <c:pt idx="97">
                  <c:v>248</c:v>
                </c:pt>
                <c:pt idx="98">
                  <c:v>3546</c:v>
                </c:pt>
                <c:pt idx="99">
                  <c:v>525</c:v>
                </c:pt>
                <c:pt idx="100">
                  <c:v>1080</c:v>
                </c:pt>
                <c:pt idx="101">
                  <c:v>3640</c:v>
                </c:pt>
                <c:pt idx="102">
                  <c:v>1420</c:v>
                </c:pt>
                <c:pt idx="103">
                  <c:v>1875</c:v>
                </c:pt>
                <c:pt idx="104">
                  <c:v>198</c:v>
                </c:pt>
                <c:pt idx="105">
                  <c:v>1150</c:v>
                </c:pt>
                <c:pt idx="106">
                  <c:v>1190</c:v>
                </c:pt>
                <c:pt idx="107">
                  <c:v>1658</c:v>
                </c:pt>
                <c:pt idx="108">
                  <c:v>1768</c:v>
                </c:pt>
                <c:pt idx="109">
                  <c:v>199</c:v>
                </c:pt>
                <c:pt idx="110">
                  <c:v>450</c:v>
                </c:pt>
                <c:pt idx="111">
                  <c:v>169</c:v>
                </c:pt>
              </c:numCache>
            </c:numRef>
          </c:xVal>
          <c:yVal>
            <c:numRef>
              <c:f>'Trend Analysis'!$I$2:$I$118</c:f>
              <c:numCache>
                <c:formatCode>0.0</c:formatCode>
                <c:ptCount val="11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0</c:v>
                </c:pt>
                <c:pt idx="22">
                  <c:v>4</c:v>
                </c:pt>
                <c:pt idx="23">
                  <c:v>4.4000000000000004</c:v>
                </c:pt>
                <c:pt idx="24">
                  <c:v>4.3</c:v>
                </c:pt>
                <c:pt idx="25">
                  <c:v>4.5999999999999996</c:v>
                </c:pt>
                <c:pt idx="26">
                  <c:v>3.8</c:v>
                </c:pt>
                <c:pt idx="27">
                  <c:v>3.8</c:v>
                </c:pt>
                <c:pt idx="28">
                  <c:v>4.0999999999999996</c:v>
                </c:pt>
                <c:pt idx="29">
                  <c:v>0</c:v>
                </c:pt>
                <c:pt idx="30">
                  <c:v>4.3</c:v>
                </c:pt>
                <c:pt idx="31">
                  <c:v>4.7</c:v>
                </c:pt>
                <c:pt idx="32">
                  <c:v>4.3</c:v>
                </c:pt>
                <c:pt idx="33">
                  <c:v>4.7</c:v>
                </c:pt>
                <c:pt idx="34">
                  <c:v>4.5</c:v>
                </c:pt>
                <c:pt idx="35">
                  <c:v>5</c:v>
                </c:pt>
                <c:pt idx="36">
                  <c:v>5</c:v>
                </c:pt>
                <c:pt idx="37">
                  <c:v>4.3</c:v>
                </c:pt>
                <c:pt idx="38">
                  <c:v>4.5</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2.5</c:v>
                </c:pt>
                <c:pt idx="60">
                  <c:v>3</c:v>
                </c:pt>
                <c:pt idx="61">
                  <c:v>2.1</c:v>
                </c:pt>
                <c:pt idx="62">
                  <c:v>2.8</c:v>
                </c:pt>
                <c:pt idx="63">
                  <c:v>2.7</c:v>
                </c:pt>
                <c:pt idx="64">
                  <c:v>2.9</c:v>
                </c:pt>
                <c:pt idx="65">
                  <c:v>2.2000000000000002</c:v>
                </c:pt>
                <c:pt idx="66">
                  <c:v>2.2999999999999998</c:v>
                </c:pt>
                <c:pt idx="67">
                  <c:v>3</c:v>
                </c:pt>
                <c:pt idx="68">
                  <c:v>2.6</c:v>
                </c:pt>
                <c:pt idx="69">
                  <c:v>3</c:v>
                </c:pt>
                <c:pt idx="70">
                  <c:v>2.2999999999999998</c:v>
                </c:pt>
                <c:pt idx="71">
                  <c:v>3</c:v>
                </c:pt>
                <c:pt idx="72">
                  <c:v>2.2000000000000002</c:v>
                </c:pt>
                <c:pt idx="73">
                  <c:v>2.1</c:v>
                </c:pt>
                <c:pt idx="74">
                  <c:v>0</c:v>
                </c:pt>
                <c:pt idx="75">
                  <c:v>0</c:v>
                </c:pt>
                <c:pt idx="76">
                  <c:v>0</c:v>
                </c:pt>
                <c:pt idx="77">
                  <c:v>0</c:v>
                </c:pt>
                <c:pt idx="78">
                  <c:v>3</c:v>
                </c:pt>
                <c:pt idx="79">
                  <c:v>5</c:v>
                </c:pt>
                <c:pt idx="80">
                  <c:v>0</c:v>
                </c:pt>
                <c:pt idx="81">
                  <c:v>0</c:v>
                </c:pt>
                <c:pt idx="82">
                  <c:v>4</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5</c:v>
                </c:pt>
                <c:pt idx="102">
                  <c:v>0</c:v>
                </c:pt>
                <c:pt idx="103">
                  <c:v>0</c:v>
                </c:pt>
                <c:pt idx="104">
                  <c:v>0</c:v>
                </c:pt>
                <c:pt idx="105">
                  <c:v>0</c:v>
                </c:pt>
                <c:pt idx="106">
                  <c:v>0</c:v>
                </c:pt>
                <c:pt idx="107">
                  <c:v>0</c:v>
                </c:pt>
                <c:pt idx="108">
                  <c:v>0</c:v>
                </c:pt>
                <c:pt idx="109">
                  <c:v>0</c:v>
                </c:pt>
                <c:pt idx="110">
                  <c:v>2</c:v>
                </c:pt>
                <c:pt idx="111">
                  <c:v>0</c:v>
                </c:pt>
              </c:numCache>
            </c:numRef>
          </c:yVal>
          <c:smooth val="0"/>
          <c:extLst>
            <c:ext xmlns:c16="http://schemas.microsoft.com/office/drawing/2014/chart" uri="{C3380CC4-5D6E-409C-BE32-E72D297353CC}">
              <c16:uniqueId val="{00000001-E9A3-4D3E-82BF-44986755A727}"/>
            </c:ext>
          </c:extLst>
        </c:ser>
        <c:dLbls>
          <c:showLegendKey val="0"/>
          <c:showVal val="0"/>
          <c:showCatName val="0"/>
          <c:showSerName val="0"/>
          <c:showPercent val="0"/>
          <c:showBubbleSize val="0"/>
        </c:dLbls>
        <c:axId val="1679587104"/>
        <c:axId val="1679589024"/>
      </c:scatterChart>
      <c:valAx>
        <c:axId val="16795871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Price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KES]\ #,##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89024"/>
        <c:crosses val="autoZero"/>
        <c:crossBetween val="midCat"/>
      </c:valAx>
      <c:valAx>
        <c:axId val="1679589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8710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[Excel-Jumia-Dashboard-project.xlsx]Product Categories section!PivotTable8</c:name>
    <c:fmtId val="4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by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'Product Categories section'!$B$3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8A8-42EC-A9C2-7D6A42632DBC}"/>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8A8-42EC-A9C2-7D6A42632DBC}"/>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A8A8-42EC-A9C2-7D6A42632DBC}"/>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A8A8-42EC-A9C2-7D6A42632DBC}"/>
              </c:ext>
            </c:extLst>
          </c:dPt>
          <c:cat>
            <c:strRef>
              <c:f>'Product Categories section'!$A$4:$A$8</c:f>
              <c:strCache>
                <c:ptCount val="4"/>
                <c:pt idx="0">
                  <c:v>Average</c:v>
                </c:pt>
                <c:pt idx="1">
                  <c:v>Excellent</c:v>
                </c:pt>
                <c:pt idx="2">
                  <c:v>Poor</c:v>
                </c:pt>
                <c:pt idx="3">
                  <c:v>Unknown</c:v>
                </c:pt>
              </c:strCache>
            </c:strRef>
          </c:cat>
          <c:val>
            <c:numRef>
              <c:f>'Product Categories section'!$B$4:$B$8</c:f>
              <c:numCache>
                <c:formatCode>General</c:formatCode>
                <c:ptCount val="4"/>
                <c:pt idx="0">
                  <c:v>13</c:v>
                </c:pt>
                <c:pt idx="1">
                  <c:v>32</c:v>
                </c:pt>
                <c:pt idx="2">
                  <c:v>12</c:v>
                </c:pt>
                <c:pt idx="3">
                  <c:v>55</c:v>
                </c:pt>
              </c:numCache>
            </c:numRef>
          </c:val>
          <c:extLst>
            <c:ext xmlns:c16="http://schemas.microsoft.com/office/drawing/2014/chart" uri="{C3380CC4-5D6E-409C-BE32-E72D297353CC}">
              <c16:uniqueId val="{00000008-A8A8-42EC-A9C2-7D6A42632DB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[Excel-Jumia-Dashboard-project.xlsx]Product Categories section!PivotTable9</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a:t>
            </a:r>
            <a:r>
              <a:rPr lang="en-US" baseline="0"/>
              <a:t> by Discount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Categories section'!$B$23</c:f>
              <c:strCache>
                <c:ptCount val="1"/>
                <c:pt idx="0">
                  <c:v>Total</c:v>
                </c:pt>
              </c:strCache>
            </c:strRef>
          </c:tx>
          <c:spPr>
            <a:solidFill>
              <a:schemeClr val="accent5"/>
            </a:solidFill>
            <a:ln>
              <a:noFill/>
            </a:ln>
            <a:effectLst/>
          </c:spPr>
          <c:invertIfNegative val="0"/>
          <c:cat>
            <c:strRef>
              <c:f>'Product Categories section'!$A$24:$A$27</c:f>
              <c:strCache>
                <c:ptCount val="3"/>
                <c:pt idx="0">
                  <c:v>High Discount</c:v>
                </c:pt>
                <c:pt idx="1">
                  <c:v>Low Discount</c:v>
                </c:pt>
                <c:pt idx="2">
                  <c:v>Medium Discount</c:v>
                </c:pt>
              </c:strCache>
            </c:strRef>
          </c:cat>
          <c:val>
            <c:numRef>
              <c:f>'Product Categories section'!$B$24:$B$27</c:f>
              <c:numCache>
                <c:formatCode>General</c:formatCode>
                <c:ptCount val="3"/>
                <c:pt idx="0">
                  <c:v>62</c:v>
                </c:pt>
                <c:pt idx="1">
                  <c:v>18</c:v>
                </c:pt>
                <c:pt idx="2">
                  <c:v>32</c:v>
                </c:pt>
              </c:numCache>
            </c:numRef>
          </c:val>
          <c:extLst>
            <c:ext xmlns:c16="http://schemas.microsoft.com/office/drawing/2014/chart" uri="{C3380CC4-5D6E-409C-BE32-E72D297353CC}">
              <c16:uniqueId val="{00000000-BE85-4DE8-95BD-559BE74FE122}"/>
            </c:ext>
          </c:extLst>
        </c:ser>
        <c:dLbls>
          <c:showLegendKey val="0"/>
          <c:showVal val="0"/>
          <c:showCatName val="0"/>
          <c:showSerName val="0"/>
          <c:showPercent val="0"/>
          <c:showBubbleSize val="0"/>
        </c:dLbls>
        <c:gapWidth val="219"/>
        <c:overlap val="-27"/>
        <c:axId val="1679526144"/>
        <c:axId val="1679553984"/>
      </c:barChart>
      <c:catAx>
        <c:axId val="167952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53984"/>
        <c:crosses val="autoZero"/>
        <c:auto val="1"/>
        <c:lblAlgn val="ctr"/>
        <c:lblOffset val="100"/>
        <c:noMultiLvlLbl val="0"/>
      </c:catAx>
      <c:valAx>
        <c:axId val="167955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52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461962</xdr:colOff>
      <xdr:row>0</xdr:row>
      <xdr:rowOff>104775</xdr:rowOff>
    </xdr:from>
    <xdr:to>
      <xdr:col>10</xdr:col>
      <xdr:colOff>157162</xdr:colOff>
      <xdr:row>14</xdr:row>
      <xdr:rowOff>180975</xdr:rowOff>
    </xdr:to>
    <xdr:graphicFrame macro="">
      <xdr:nvGraphicFramePr>
        <xdr:cNvPr id="6" name="Chart 5">
          <a:extLst>
            <a:ext uri="{FF2B5EF4-FFF2-40B4-BE49-F238E27FC236}">
              <a16:creationId xmlns:a16="http://schemas.microsoft.com/office/drawing/2014/main" id="{9229BBC7-B529-8CD3-4B9D-778BDE40D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295275</xdr:colOff>
      <xdr:row>17</xdr:row>
      <xdr:rowOff>123825</xdr:rowOff>
    </xdr:from>
    <xdr:to>
      <xdr:col>9</xdr:col>
      <xdr:colOff>600075</xdr:colOff>
      <xdr:row>32</xdr:row>
      <xdr:rowOff>9525</xdr:rowOff>
    </xdr:to>
    <xdr:graphicFrame macro="">
      <xdr:nvGraphicFramePr>
        <xdr:cNvPr id="7" name="Chart 6">
          <a:extLst>
            <a:ext uri="{FF2B5EF4-FFF2-40B4-BE49-F238E27FC236}">
              <a16:creationId xmlns:a16="http://schemas.microsoft.com/office/drawing/2014/main" id="{2141D8B8-1BC8-0AD4-3C37-0E634787ED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8</xdr:row>
      <xdr:rowOff>66675</xdr:rowOff>
    </xdr:from>
    <xdr:to>
      <xdr:col>1</xdr:col>
      <xdr:colOff>723900</xdr:colOff>
      <xdr:row>21</xdr:row>
      <xdr:rowOff>114300</xdr:rowOff>
    </xdr:to>
    <mc:AlternateContent xmlns:mc="http://schemas.openxmlformats.org/markup-compatibility/2006">
      <mc:Choice xmlns:a14="http://schemas.microsoft.com/office/drawing/2010/main" Requires="a14">
        <xdr:graphicFrame macro="">
          <xdr:nvGraphicFramePr>
            <xdr:cNvPr id="8" name="Rating Category">
              <a:extLst>
                <a:ext uri="{FF2B5EF4-FFF2-40B4-BE49-F238E27FC236}">
                  <a16:creationId xmlns:a16="http://schemas.microsoft.com/office/drawing/2014/main" id="{1FA7BB62-6322-CE20-20B1-379F36F77A6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9525" y="1590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27</xdr:row>
      <xdr:rowOff>85725</xdr:rowOff>
    </xdr:from>
    <xdr:to>
      <xdr:col>1</xdr:col>
      <xdr:colOff>790575</xdr:colOff>
      <xdr:row>40</xdr:row>
      <xdr:rowOff>133350</xdr:rowOff>
    </xdr:to>
    <mc:AlternateContent xmlns:mc="http://schemas.openxmlformats.org/markup-compatibility/2006">
      <mc:Choice xmlns:a14="http://schemas.microsoft.com/office/drawing/2010/main" Requires="a14">
        <xdr:graphicFrame macro="">
          <xdr:nvGraphicFramePr>
            <xdr:cNvPr id="9" name="Discount Category">
              <a:extLst>
                <a:ext uri="{FF2B5EF4-FFF2-40B4-BE49-F238E27FC236}">
                  <a16:creationId xmlns:a16="http://schemas.microsoft.com/office/drawing/2014/main" id="{8B2EF697-0411-0A0A-24EE-3673F83DB2CE}"/>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76200" y="522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590550</xdr:colOff>
      <xdr:row>24</xdr:row>
      <xdr:rowOff>95250</xdr:rowOff>
    </xdr:from>
    <xdr:to>
      <xdr:col>13</xdr:col>
      <xdr:colOff>590550</xdr:colOff>
      <xdr:row>37</xdr:row>
      <xdr:rowOff>142875</xdr:rowOff>
    </xdr:to>
    <mc:AlternateContent xmlns:mc="http://schemas.openxmlformats.org/markup-compatibility/2006">
      <mc:Choice xmlns:a14="http://schemas.microsoft.com/office/drawing/2010/main" Requires="a14">
        <xdr:graphicFrame macro="">
          <xdr:nvGraphicFramePr>
            <xdr:cNvPr id="10" name="Price Category">
              <a:extLst>
                <a:ext uri="{FF2B5EF4-FFF2-40B4-BE49-F238E27FC236}">
                  <a16:creationId xmlns:a16="http://schemas.microsoft.com/office/drawing/2014/main" id="{99D0F793-C1C6-9D54-CBFF-7F20F831CDAE}"/>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dr:sp macro="" textlink="">
          <xdr:nvSpPr>
            <xdr:cNvPr id="0" name=""/>
            <xdr:cNvSpPr>
              <a:spLocks noTextEdit="1"/>
            </xdr:cNvSpPr>
          </xdr:nvSpPr>
          <xdr:spPr>
            <a:xfrm>
              <a:off x="7648575" y="46672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95249</xdr:colOff>
      <xdr:row>1</xdr:row>
      <xdr:rowOff>15993</xdr:rowOff>
    </xdr:from>
    <xdr:to>
      <xdr:col>0</xdr:col>
      <xdr:colOff>4667249</xdr:colOff>
      <xdr:row>15</xdr:row>
      <xdr:rowOff>125119</xdr:rowOff>
    </xdr:to>
    <xdr:graphicFrame macro="">
      <xdr:nvGraphicFramePr>
        <xdr:cNvPr id="11" name="Chart 10">
          <a:extLst>
            <a:ext uri="{FF2B5EF4-FFF2-40B4-BE49-F238E27FC236}">
              <a16:creationId xmlns:a16="http://schemas.microsoft.com/office/drawing/2014/main" id="{A4DDEB47-D95D-5703-57D6-976188E84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59972</xdr:colOff>
      <xdr:row>16</xdr:row>
      <xdr:rowOff>15993</xdr:rowOff>
    </xdr:from>
    <xdr:to>
      <xdr:col>0</xdr:col>
      <xdr:colOff>4631972</xdr:colOff>
      <xdr:row>30</xdr:row>
      <xdr:rowOff>125119</xdr:rowOff>
    </xdr:to>
    <xdr:graphicFrame macro="">
      <xdr:nvGraphicFramePr>
        <xdr:cNvPr id="12" name="Chart 11">
          <a:extLst>
            <a:ext uri="{FF2B5EF4-FFF2-40B4-BE49-F238E27FC236}">
              <a16:creationId xmlns:a16="http://schemas.microsoft.com/office/drawing/2014/main" id="{B3E80581-2ACC-83DC-CC66-4EFB15D0B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5022379</xdr:colOff>
      <xdr:row>1</xdr:row>
      <xdr:rowOff>98308</xdr:rowOff>
    </xdr:from>
    <xdr:to>
      <xdr:col>4</xdr:col>
      <xdr:colOff>304564</xdr:colOff>
      <xdr:row>16</xdr:row>
      <xdr:rowOff>19286</xdr:rowOff>
    </xdr:to>
    <xdr:graphicFrame macro="">
      <xdr:nvGraphicFramePr>
        <xdr:cNvPr id="13" name="Chart 12">
          <a:extLst>
            <a:ext uri="{FF2B5EF4-FFF2-40B4-BE49-F238E27FC236}">
              <a16:creationId xmlns:a16="http://schemas.microsoft.com/office/drawing/2014/main" id="{67A4B03E-E205-E42E-A24A-E3851C6DD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0</xdr:row>
      <xdr:rowOff>161925</xdr:rowOff>
    </xdr:from>
    <xdr:to>
      <xdr:col>10</xdr:col>
      <xdr:colOff>0</xdr:colOff>
      <xdr:row>15</xdr:row>
      <xdr:rowOff>47625</xdr:rowOff>
    </xdr:to>
    <xdr:graphicFrame macro="">
      <xdr:nvGraphicFramePr>
        <xdr:cNvPr id="2" name="Chart 1">
          <a:extLst>
            <a:ext uri="{FF2B5EF4-FFF2-40B4-BE49-F238E27FC236}">
              <a16:creationId xmlns:a16="http://schemas.microsoft.com/office/drawing/2014/main" id="{DF989B68-628E-A3C8-79DC-107D15E698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371475</xdr:colOff>
      <xdr:row>21</xdr:row>
      <xdr:rowOff>114300</xdr:rowOff>
    </xdr:from>
    <xdr:to>
      <xdr:col>10</xdr:col>
      <xdr:colOff>66675</xdr:colOff>
      <xdr:row>36</xdr:row>
      <xdr:rowOff>0</xdr:rowOff>
    </xdr:to>
    <xdr:graphicFrame macro="">
      <xdr:nvGraphicFramePr>
        <xdr:cNvPr id="3" name="Chart 2">
          <a:extLst>
            <a:ext uri="{FF2B5EF4-FFF2-40B4-BE49-F238E27FC236}">
              <a16:creationId xmlns:a16="http://schemas.microsoft.com/office/drawing/2014/main" id="{C2E0347E-A742-A7B1-4964-5A72D8EC5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238125</xdr:colOff>
      <xdr:row>42</xdr:row>
      <xdr:rowOff>95250</xdr:rowOff>
    </xdr:from>
    <xdr:to>
      <xdr:col>9</xdr:col>
      <xdr:colOff>542925</xdr:colOff>
      <xdr:row>56</xdr:row>
      <xdr:rowOff>171450</xdr:rowOff>
    </xdr:to>
    <xdr:graphicFrame macro="">
      <xdr:nvGraphicFramePr>
        <xdr:cNvPr id="4" name="Chart 3">
          <a:extLst>
            <a:ext uri="{FF2B5EF4-FFF2-40B4-BE49-F238E27FC236}">
              <a16:creationId xmlns:a16="http://schemas.microsoft.com/office/drawing/2014/main" id="{084744AB-4ED6-91B8-939B-6D961FC90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323849</xdr:colOff>
      <xdr:row>0</xdr:row>
      <xdr:rowOff>152400</xdr:rowOff>
    </xdr:from>
    <xdr:to>
      <xdr:col>27</xdr:col>
      <xdr:colOff>9719</xdr:colOff>
      <xdr:row>5</xdr:row>
      <xdr:rowOff>133350</xdr:rowOff>
    </xdr:to>
    <xdr:sp macro="" textlink="">
      <xdr:nvSpPr>
        <xdr:cNvPr id="2" name="Rectangle: Rounded Corners 1">
          <a:extLst>
            <a:ext uri="{FF2B5EF4-FFF2-40B4-BE49-F238E27FC236}">
              <a16:creationId xmlns:a16="http://schemas.microsoft.com/office/drawing/2014/main" id="{102C703E-EA69-85E6-F6D7-5CA0108CF62E}"/>
            </a:ext>
          </a:extLst>
        </xdr:cNvPr>
        <xdr:cNvSpPr/>
      </xdr:nvSpPr>
      <xdr:spPr>
        <a:xfrm>
          <a:off x="1548492" y="152400"/>
          <a:ext cx="14993906" cy="952889"/>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a:solidFill>
                <a:schemeClr val="accent5">
                  <a:lumMod val="50000"/>
                </a:schemeClr>
              </a:solidFill>
            </a:rPr>
            <a:t>JUMIA PERFORMANCE DASHBOARD</a:t>
          </a:r>
        </a:p>
      </xdr:txBody>
    </xdr:sp>
    <xdr:clientData/>
  </xdr:twoCellAnchor>
  <xdr:twoCellAnchor>
    <xdr:from>
      <xdr:col>2</xdr:col>
      <xdr:colOff>561975</xdr:colOff>
      <xdr:row>6</xdr:row>
      <xdr:rowOff>142875</xdr:rowOff>
    </xdr:from>
    <xdr:to>
      <xdr:col>6</xdr:col>
      <xdr:colOff>38877</xdr:colOff>
      <xdr:row>9</xdr:row>
      <xdr:rowOff>106913</xdr:rowOff>
    </xdr:to>
    <xdr:sp macro="" textlink="">
      <xdr:nvSpPr>
        <xdr:cNvPr id="3" name="Rectangle: Rounded Corners 2">
          <a:extLst>
            <a:ext uri="{FF2B5EF4-FFF2-40B4-BE49-F238E27FC236}">
              <a16:creationId xmlns:a16="http://schemas.microsoft.com/office/drawing/2014/main" id="{2420BCC2-30DC-3901-AFD7-8C5475AAA6FF}"/>
            </a:ext>
          </a:extLst>
        </xdr:cNvPr>
        <xdr:cNvSpPr/>
      </xdr:nvSpPr>
      <xdr:spPr>
        <a:xfrm>
          <a:off x="1786618" y="1309202"/>
          <a:ext cx="1926188" cy="547201"/>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chemeClr val="accent5">
                  <a:lumMod val="50000"/>
                </a:schemeClr>
              </a:solidFill>
              <a:effectLst/>
              <a:latin typeface="+mn-lt"/>
              <a:ea typeface="+mn-ea"/>
              <a:cs typeface="+mn-cs"/>
            </a:rPr>
            <a:t>Total Number of</a:t>
          </a:r>
          <a:r>
            <a:rPr lang="en-US" sz="1200" b="1" baseline="0">
              <a:solidFill>
                <a:schemeClr val="accent5">
                  <a:lumMod val="50000"/>
                </a:schemeClr>
              </a:solidFill>
              <a:effectLst/>
              <a:latin typeface="+mn-lt"/>
              <a:ea typeface="+mn-ea"/>
              <a:cs typeface="+mn-cs"/>
            </a:rPr>
            <a:t> Products</a:t>
          </a:r>
          <a:endParaRPr lang="en-US" sz="1200" b="1">
            <a:solidFill>
              <a:schemeClr val="accent5">
                <a:lumMod val="50000"/>
              </a:schemeClr>
            </a:solidFill>
            <a:effectLst/>
          </a:endParaRPr>
        </a:p>
        <a:p>
          <a:r>
            <a:rPr lang="en-US" sz="1200" b="1" baseline="0">
              <a:solidFill>
                <a:schemeClr val="accent5">
                  <a:lumMod val="50000"/>
                </a:schemeClr>
              </a:solidFill>
              <a:effectLst/>
              <a:latin typeface="+mn-lt"/>
              <a:ea typeface="+mn-ea"/>
              <a:cs typeface="+mn-cs"/>
            </a:rPr>
            <a:t>=112</a:t>
          </a:r>
          <a:endParaRPr lang="en-US" sz="1200" b="1">
            <a:solidFill>
              <a:schemeClr val="accent5">
                <a:lumMod val="50000"/>
              </a:schemeClr>
            </a:solidFill>
            <a:effectLst/>
          </a:endParaRPr>
        </a:p>
        <a:p>
          <a:pPr algn="l"/>
          <a:endParaRPr lang="en-US" sz="1100"/>
        </a:p>
      </xdr:txBody>
    </xdr:sp>
    <xdr:clientData/>
  </xdr:twoCellAnchor>
  <xdr:twoCellAnchor>
    <xdr:from>
      <xdr:col>7</xdr:col>
      <xdr:colOff>464867</xdr:colOff>
      <xdr:row>6</xdr:row>
      <xdr:rowOff>94472</xdr:rowOff>
    </xdr:from>
    <xdr:to>
      <xdr:col>10</xdr:col>
      <xdr:colOff>289638</xdr:colOff>
      <xdr:row>9</xdr:row>
      <xdr:rowOff>38877</xdr:rowOff>
    </xdr:to>
    <xdr:sp macro="" textlink="">
      <xdr:nvSpPr>
        <xdr:cNvPr id="4" name="Rectangle: Rounded Corners 3">
          <a:extLst>
            <a:ext uri="{FF2B5EF4-FFF2-40B4-BE49-F238E27FC236}">
              <a16:creationId xmlns:a16="http://schemas.microsoft.com/office/drawing/2014/main" id="{57D0B72C-2DC3-4ED2-B8A5-BE1E307B8C6F}"/>
            </a:ext>
          </a:extLst>
        </xdr:cNvPr>
        <xdr:cNvSpPr/>
      </xdr:nvSpPr>
      <xdr:spPr>
        <a:xfrm>
          <a:off x="4751117" y="1260799"/>
          <a:ext cx="1661735" cy="527568"/>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200" b="1" i="0" baseline="0">
              <a:solidFill>
                <a:schemeClr val="accent5">
                  <a:lumMod val="50000"/>
                </a:schemeClr>
              </a:solidFill>
              <a:effectLst/>
              <a:latin typeface="+mn-lt"/>
              <a:ea typeface="+mn-ea"/>
              <a:cs typeface="+mn-cs"/>
            </a:rPr>
            <a:t>Average Product Price</a:t>
          </a:r>
          <a:endParaRPr lang="en-US" sz="1200" b="1">
            <a:solidFill>
              <a:schemeClr val="accent5">
                <a:lumMod val="50000"/>
              </a:schemeClr>
            </a:solidFill>
            <a:effectLst/>
          </a:endParaRPr>
        </a:p>
        <a:p>
          <a:pPr eaLnBrk="1" fontAlgn="auto" latinLnBrk="0" hangingPunct="1"/>
          <a:r>
            <a:rPr lang="en-US" sz="1200" b="1" i="0">
              <a:solidFill>
                <a:schemeClr val="accent5">
                  <a:lumMod val="50000"/>
                </a:schemeClr>
              </a:solidFill>
              <a:effectLst/>
              <a:latin typeface="+mn-lt"/>
              <a:ea typeface="+mn-ea"/>
              <a:cs typeface="+mn-cs"/>
            </a:rPr>
            <a:t>=</a:t>
          </a:r>
          <a:r>
            <a:rPr lang="en-KE" sz="1200" b="1" i="0">
              <a:solidFill>
                <a:schemeClr val="accent5">
                  <a:lumMod val="50000"/>
                </a:schemeClr>
              </a:solidFill>
              <a:effectLst/>
              <a:latin typeface="+mn-lt"/>
              <a:ea typeface="+mn-ea"/>
              <a:cs typeface="+mn-cs"/>
            </a:rPr>
            <a:t>Ksh1,18</a:t>
          </a:r>
          <a:r>
            <a:rPr lang="en-US" sz="1200" b="1" i="0">
              <a:solidFill>
                <a:schemeClr val="accent5">
                  <a:lumMod val="50000"/>
                </a:schemeClr>
              </a:solidFill>
              <a:effectLst/>
              <a:latin typeface="+mn-lt"/>
              <a:ea typeface="+mn-ea"/>
              <a:cs typeface="+mn-cs"/>
            </a:rPr>
            <a:t>7</a:t>
          </a:r>
        </a:p>
        <a:p>
          <a:pPr eaLnBrk="1" fontAlgn="auto" latinLnBrk="0" hangingPunct="1"/>
          <a:r>
            <a:rPr lang="en-KE" sz="1200" b="1">
              <a:solidFill>
                <a:schemeClr val="accent5">
                  <a:lumMod val="50000"/>
                </a:schemeClr>
              </a:solidFill>
              <a:effectLst/>
              <a:latin typeface="+mn-lt"/>
              <a:ea typeface="+mn-ea"/>
              <a:cs typeface="+mn-cs"/>
            </a:rPr>
            <a:t> </a:t>
          </a:r>
          <a:endParaRPr lang="en-US" sz="1200" b="1">
            <a:solidFill>
              <a:schemeClr val="accent5">
                <a:lumMod val="50000"/>
              </a:schemeClr>
            </a:solidFill>
            <a:effectLst/>
          </a:endParaRPr>
        </a:p>
        <a:p>
          <a:pPr algn="l"/>
          <a:endParaRPr lang="en-US" sz="1100"/>
        </a:p>
      </xdr:txBody>
    </xdr:sp>
    <xdr:clientData/>
  </xdr:twoCellAnchor>
  <xdr:twoCellAnchor>
    <xdr:from>
      <xdr:col>11</xdr:col>
      <xdr:colOff>515127</xdr:colOff>
      <xdr:row>6</xdr:row>
      <xdr:rowOff>75228</xdr:rowOff>
    </xdr:from>
    <xdr:to>
      <xdr:col>15</xdr:col>
      <xdr:colOff>116839</xdr:colOff>
      <xdr:row>9</xdr:row>
      <xdr:rowOff>19439</xdr:rowOff>
    </xdr:to>
    <xdr:sp macro="" textlink="">
      <xdr:nvSpPr>
        <xdr:cNvPr id="5" name="Rectangle: Rounded Corners 4">
          <a:extLst>
            <a:ext uri="{FF2B5EF4-FFF2-40B4-BE49-F238E27FC236}">
              <a16:creationId xmlns:a16="http://schemas.microsoft.com/office/drawing/2014/main" id="{EFCDEBB1-D13E-4C31-B5C2-5078A1846E05}"/>
            </a:ext>
          </a:extLst>
        </xdr:cNvPr>
        <xdr:cNvSpPr/>
      </xdr:nvSpPr>
      <xdr:spPr>
        <a:xfrm>
          <a:off x="7250663" y="1241555"/>
          <a:ext cx="2050997" cy="527374"/>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200" b="1" i="0" baseline="0">
              <a:solidFill>
                <a:schemeClr val="accent5">
                  <a:lumMod val="50000"/>
                </a:schemeClr>
              </a:solidFill>
              <a:effectLst/>
              <a:latin typeface="+mn-lt"/>
              <a:ea typeface="+mn-ea"/>
              <a:cs typeface="+mn-cs"/>
            </a:rPr>
            <a:t>Average Discount Price</a:t>
          </a:r>
          <a:endParaRPr lang="en-US" sz="1200">
            <a:solidFill>
              <a:schemeClr val="accent5">
                <a:lumMod val="50000"/>
              </a:schemeClr>
            </a:solidFill>
            <a:effectLst/>
          </a:endParaRPr>
        </a:p>
        <a:p>
          <a:pPr eaLnBrk="1" fontAlgn="auto" latinLnBrk="0" hangingPunct="1"/>
          <a:r>
            <a:rPr lang="en-US" sz="1200" b="1" i="0">
              <a:solidFill>
                <a:schemeClr val="accent5">
                  <a:lumMod val="50000"/>
                </a:schemeClr>
              </a:solidFill>
              <a:effectLst/>
              <a:latin typeface="+mn-lt"/>
              <a:ea typeface="+mn-ea"/>
              <a:cs typeface="+mn-cs"/>
            </a:rPr>
            <a:t>=</a:t>
          </a:r>
          <a:r>
            <a:rPr lang="en-KE" sz="1200" b="1" i="0">
              <a:solidFill>
                <a:schemeClr val="accent5">
                  <a:lumMod val="50000"/>
                </a:schemeClr>
              </a:solidFill>
              <a:effectLst/>
              <a:latin typeface="+mn-lt"/>
              <a:ea typeface="+mn-ea"/>
              <a:cs typeface="+mn-cs"/>
            </a:rPr>
            <a:t>37%</a:t>
          </a:r>
          <a:r>
            <a:rPr lang="en-KE" sz="1200" b="1">
              <a:solidFill>
                <a:schemeClr val="accent5">
                  <a:lumMod val="50000"/>
                </a:schemeClr>
              </a:solidFill>
              <a:effectLst/>
              <a:latin typeface="+mn-lt"/>
              <a:ea typeface="+mn-ea"/>
              <a:cs typeface="+mn-cs"/>
            </a:rPr>
            <a:t> </a:t>
          </a:r>
          <a:endParaRPr lang="en-US" sz="1200">
            <a:solidFill>
              <a:schemeClr val="accent5">
                <a:lumMod val="50000"/>
              </a:schemeClr>
            </a:solidFill>
            <a:effectLst/>
          </a:endParaRPr>
        </a:p>
        <a:p>
          <a:pPr algn="l"/>
          <a:endParaRPr lang="en-US" sz="1100"/>
        </a:p>
      </xdr:txBody>
    </xdr:sp>
    <xdr:clientData/>
  </xdr:twoCellAnchor>
  <xdr:twoCellAnchor>
    <xdr:from>
      <xdr:col>17</xdr:col>
      <xdr:colOff>88349</xdr:colOff>
      <xdr:row>6</xdr:row>
      <xdr:rowOff>73641</xdr:rowOff>
    </xdr:from>
    <xdr:to>
      <xdr:col>19</xdr:col>
      <xdr:colOff>530278</xdr:colOff>
      <xdr:row>9</xdr:row>
      <xdr:rowOff>9719</xdr:rowOff>
    </xdr:to>
    <xdr:sp macro="" textlink="">
      <xdr:nvSpPr>
        <xdr:cNvPr id="6" name="Rectangle: Rounded Corners 5">
          <a:extLst>
            <a:ext uri="{FF2B5EF4-FFF2-40B4-BE49-F238E27FC236}">
              <a16:creationId xmlns:a16="http://schemas.microsoft.com/office/drawing/2014/main" id="{94F350D3-D4ED-4941-9586-BDDE0140A8FD}"/>
            </a:ext>
          </a:extLst>
        </xdr:cNvPr>
        <xdr:cNvSpPr/>
      </xdr:nvSpPr>
      <xdr:spPr>
        <a:xfrm>
          <a:off x="10497813" y="1239968"/>
          <a:ext cx="1666572" cy="519241"/>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200" b="1" i="0" baseline="0">
              <a:solidFill>
                <a:schemeClr val="accent5">
                  <a:lumMod val="50000"/>
                </a:schemeClr>
              </a:solidFill>
              <a:effectLst/>
              <a:latin typeface="+mn-lt"/>
              <a:ea typeface="+mn-ea"/>
              <a:cs typeface="+mn-cs"/>
            </a:rPr>
            <a:t>Average Rating</a:t>
          </a:r>
          <a:endParaRPr lang="en-US" sz="1200">
            <a:solidFill>
              <a:schemeClr val="accent5">
                <a:lumMod val="50000"/>
              </a:schemeClr>
            </a:solidFill>
            <a:effectLst/>
          </a:endParaRPr>
        </a:p>
        <a:p>
          <a:pPr eaLnBrk="1" fontAlgn="auto" latinLnBrk="0" hangingPunct="1"/>
          <a:r>
            <a:rPr lang="en-US" sz="1200" b="1" i="0">
              <a:solidFill>
                <a:schemeClr val="accent5">
                  <a:lumMod val="50000"/>
                </a:schemeClr>
              </a:solidFill>
              <a:effectLst/>
              <a:latin typeface="+mn-lt"/>
              <a:ea typeface="+mn-ea"/>
              <a:cs typeface="+mn-cs"/>
            </a:rPr>
            <a:t>=</a:t>
          </a:r>
          <a:r>
            <a:rPr lang="en-KE" sz="1200" b="1" i="0">
              <a:solidFill>
                <a:schemeClr val="accent5">
                  <a:lumMod val="50000"/>
                </a:schemeClr>
              </a:solidFill>
              <a:effectLst/>
              <a:latin typeface="+mn-lt"/>
              <a:ea typeface="+mn-ea"/>
              <a:cs typeface="+mn-cs"/>
            </a:rPr>
            <a:t>3.</a:t>
          </a:r>
          <a:r>
            <a:rPr lang="en-US" sz="1200" b="1" i="0">
              <a:solidFill>
                <a:schemeClr val="accent5">
                  <a:lumMod val="50000"/>
                </a:schemeClr>
              </a:solidFill>
              <a:effectLst/>
              <a:latin typeface="+mn-lt"/>
              <a:ea typeface="+mn-ea"/>
              <a:cs typeface="+mn-cs"/>
            </a:rPr>
            <a:t>9</a:t>
          </a:r>
          <a:endParaRPr lang="en-US" sz="1200">
            <a:solidFill>
              <a:schemeClr val="accent5">
                <a:lumMod val="50000"/>
              </a:schemeClr>
            </a:solidFill>
            <a:effectLst/>
          </a:endParaRPr>
        </a:p>
        <a:p>
          <a:pPr algn="l"/>
          <a:endParaRPr lang="en-US" sz="1100"/>
        </a:p>
      </xdr:txBody>
    </xdr:sp>
    <xdr:clientData/>
  </xdr:twoCellAnchor>
  <xdr:twoCellAnchor>
    <xdr:from>
      <xdr:col>21</xdr:col>
      <xdr:colOff>573444</xdr:colOff>
      <xdr:row>6</xdr:row>
      <xdr:rowOff>47765</xdr:rowOff>
    </xdr:from>
    <xdr:to>
      <xdr:col>25</xdr:col>
      <xdr:colOff>181720</xdr:colOff>
      <xdr:row>9</xdr:row>
      <xdr:rowOff>58316</xdr:rowOff>
    </xdr:to>
    <xdr:sp macro="" textlink="">
      <xdr:nvSpPr>
        <xdr:cNvPr id="7" name="Rectangle: Rounded Corners 6">
          <a:extLst>
            <a:ext uri="{FF2B5EF4-FFF2-40B4-BE49-F238E27FC236}">
              <a16:creationId xmlns:a16="http://schemas.microsoft.com/office/drawing/2014/main" id="{D531F6FD-0B90-43E1-84D8-BDE5F85AFDE5}"/>
            </a:ext>
          </a:extLst>
        </xdr:cNvPr>
        <xdr:cNvSpPr/>
      </xdr:nvSpPr>
      <xdr:spPr>
        <a:xfrm>
          <a:off x="13432194" y="1214092"/>
          <a:ext cx="2057562" cy="593714"/>
        </a:xfrm>
        <a:prstGeom prst="roundRect">
          <a:avLst/>
        </a:prstGeom>
        <a:solidFill>
          <a:schemeClr val="accent5">
            <a:lumMod val="40000"/>
            <a:lumOff val="60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en-US" sz="1200" b="1" i="0" baseline="0">
              <a:solidFill>
                <a:schemeClr val="accent5">
                  <a:lumMod val="50000"/>
                </a:schemeClr>
              </a:solidFill>
              <a:effectLst/>
              <a:latin typeface="+mn-lt"/>
              <a:ea typeface="+mn-ea"/>
              <a:cs typeface="+mn-cs"/>
            </a:rPr>
            <a:t>Total Customer Reviews</a:t>
          </a:r>
          <a:endParaRPr lang="en-US" sz="1200">
            <a:solidFill>
              <a:schemeClr val="accent5">
                <a:lumMod val="50000"/>
              </a:schemeClr>
            </a:solidFill>
            <a:effectLst/>
          </a:endParaRPr>
        </a:p>
        <a:p>
          <a:pPr eaLnBrk="1" fontAlgn="auto" latinLnBrk="0" hangingPunct="1"/>
          <a:r>
            <a:rPr lang="en-US" sz="1200" b="1" i="0" baseline="0">
              <a:solidFill>
                <a:schemeClr val="accent5">
                  <a:lumMod val="50000"/>
                </a:schemeClr>
              </a:solidFill>
              <a:effectLst/>
              <a:latin typeface="+mn-lt"/>
              <a:ea typeface="+mn-ea"/>
              <a:cs typeface="+mn-cs"/>
            </a:rPr>
            <a:t>=723</a:t>
          </a:r>
          <a:endParaRPr lang="en-US" sz="1200">
            <a:solidFill>
              <a:schemeClr val="accent5">
                <a:lumMod val="50000"/>
              </a:schemeClr>
            </a:solidFill>
            <a:effectLst/>
          </a:endParaRPr>
        </a:p>
        <a:p>
          <a:pPr algn="l"/>
          <a:endParaRPr lang="en-US" sz="1100"/>
        </a:p>
      </xdr:txBody>
    </xdr:sp>
    <xdr:clientData/>
  </xdr:twoCellAnchor>
  <xdr:twoCellAnchor>
    <xdr:from>
      <xdr:col>3</xdr:col>
      <xdr:colOff>388926</xdr:colOff>
      <xdr:row>10</xdr:row>
      <xdr:rowOff>37278</xdr:rowOff>
    </xdr:from>
    <xdr:to>
      <xdr:col>11</xdr:col>
      <xdr:colOff>84126</xdr:colOff>
      <xdr:row>24</xdr:row>
      <xdr:rowOff>111681</xdr:rowOff>
    </xdr:to>
    <xdr:graphicFrame macro="">
      <xdr:nvGraphicFramePr>
        <xdr:cNvPr id="8" name="Chart 7">
          <a:extLst>
            <a:ext uri="{FF2B5EF4-FFF2-40B4-BE49-F238E27FC236}">
              <a16:creationId xmlns:a16="http://schemas.microsoft.com/office/drawing/2014/main" id="{02532063-7943-44A1-9A8E-84418B8C5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449292</xdr:colOff>
      <xdr:row>10</xdr:row>
      <xdr:rowOff>104236</xdr:rowOff>
    </xdr:from>
    <xdr:to>
      <xdr:col>19</xdr:col>
      <xdr:colOff>144492</xdr:colOff>
      <xdr:row>24</xdr:row>
      <xdr:rowOff>180436</xdr:rowOff>
    </xdr:to>
    <xdr:graphicFrame macro="">
      <xdr:nvGraphicFramePr>
        <xdr:cNvPr id="9" name="Chart 8">
          <a:extLst>
            <a:ext uri="{FF2B5EF4-FFF2-40B4-BE49-F238E27FC236}">
              <a16:creationId xmlns:a16="http://schemas.microsoft.com/office/drawing/2014/main" id="{B6A3555E-41E5-4F23-A4DC-1AC3546C90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372014</xdr:colOff>
      <xdr:row>10</xdr:row>
      <xdr:rowOff>95250</xdr:rowOff>
    </xdr:from>
    <xdr:to>
      <xdr:col>27</xdr:col>
      <xdr:colOff>67214</xdr:colOff>
      <xdr:row>24</xdr:row>
      <xdr:rowOff>171450</xdr:rowOff>
    </xdr:to>
    <xdr:graphicFrame macro="">
      <xdr:nvGraphicFramePr>
        <xdr:cNvPr id="10" name="Chart 9">
          <a:extLst>
            <a:ext uri="{FF2B5EF4-FFF2-40B4-BE49-F238E27FC236}">
              <a16:creationId xmlns:a16="http://schemas.microsoft.com/office/drawing/2014/main" id="{7D4EC322-7589-4E58-9D6D-CB6A512200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485236</xdr:colOff>
      <xdr:row>25</xdr:row>
      <xdr:rowOff>161744</xdr:rowOff>
    </xdr:from>
    <xdr:to>
      <xdr:col>19</xdr:col>
      <xdr:colOff>168934</xdr:colOff>
      <xdr:row>40</xdr:row>
      <xdr:rowOff>74402</xdr:rowOff>
    </xdr:to>
    <xdr:graphicFrame macro="">
      <xdr:nvGraphicFramePr>
        <xdr:cNvPr id="14" name="Chart 13">
          <a:extLst>
            <a:ext uri="{FF2B5EF4-FFF2-40B4-BE49-F238E27FC236}">
              <a16:creationId xmlns:a16="http://schemas.microsoft.com/office/drawing/2014/main" id="{79AB2721-BD71-45D1-B70A-422F44DCB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377405</xdr:colOff>
      <xdr:row>25</xdr:row>
      <xdr:rowOff>179716</xdr:rowOff>
    </xdr:from>
    <xdr:to>
      <xdr:col>27</xdr:col>
      <xdr:colOff>61103</xdr:colOff>
      <xdr:row>40</xdr:row>
      <xdr:rowOff>92374</xdr:rowOff>
    </xdr:to>
    <xdr:graphicFrame macro="">
      <xdr:nvGraphicFramePr>
        <xdr:cNvPr id="15" name="Chart 14">
          <a:extLst>
            <a:ext uri="{FF2B5EF4-FFF2-40B4-BE49-F238E27FC236}">
              <a16:creationId xmlns:a16="http://schemas.microsoft.com/office/drawing/2014/main" id="{3AD65DA2-AD76-4EB5-9AB7-A776D5634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485235</xdr:colOff>
      <xdr:row>25</xdr:row>
      <xdr:rowOff>152759</xdr:rowOff>
    </xdr:from>
    <xdr:to>
      <xdr:col>11</xdr:col>
      <xdr:colOff>168933</xdr:colOff>
      <xdr:row>40</xdr:row>
      <xdr:rowOff>65417</xdr:rowOff>
    </xdr:to>
    <xdr:graphicFrame macro="">
      <xdr:nvGraphicFramePr>
        <xdr:cNvPr id="16" name="Chart 15">
          <a:extLst>
            <a:ext uri="{FF2B5EF4-FFF2-40B4-BE49-F238E27FC236}">
              <a16:creationId xmlns:a16="http://schemas.microsoft.com/office/drawing/2014/main" id="{66488D47-7681-4D15-986B-31ABF260F8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71888</xdr:colOff>
      <xdr:row>10</xdr:row>
      <xdr:rowOff>152760</xdr:rowOff>
    </xdr:from>
    <xdr:to>
      <xdr:col>3</xdr:col>
      <xdr:colOff>89859</xdr:colOff>
      <xdr:row>22</xdr:row>
      <xdr:rowOff>17972</xdr:rowOff>
    </xdr:to>
    <mc:AlternateContent xmlns:mc="http://schemas.openxmlformats.org/markup-compatibility/2006">
      <mc:Choice xmlns:a14="http://schemas.microsoft.com/office/drawing/2010/main" Requires="a14">
        <xdr:graphicFrame macro="">
          <xdr:nvGraphicFramePr>
            <xdr:cNvPr id="17" name="Price Category 1">
              <a:extLst>
                <a:ext uri="{FF2B5EF4-FFF2-40B4-BE49-F238E27FC236}">
                  <a16:creationId xmlns:a16="http://schemas.microsoft.com/office/drawing/2014/main" id="{F4E1D062-343F-461B-9C33-564D00AB0E4D}"/>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dr:sp macro="" textlink="">
          <xdr:nvSpPr>
            <xdr:cNvPr id="0" name=""/>
            <xdr:cNvSpPr>
              <a:spLocks noTextEdit="1"/>
            </xdr:cNvSpPr>
          </xdr:nvSpPr>
          <xdr:spPr>
            <a:xfrm>
              <a:off x="71888" y="2118236"/>
              <a:ext cx="1832257" cy="22237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71887</xdr:colOff>
      <xdr:row>23</xdr:row>
      <xdr:rowOff>35943</xdr:rowOff>
    </xdr:from>
    <xdr:to>
      <xdr:col>3</xdr:col>
      <xdr:colOff>98845</xdr:colOff>
      <xdr:row>35</xdr:row>
      <xdr:rowOff>26956</xdr:rowOff>
    </xdr:to>
    <mc:AlternateContent xmlns:mc="http://schemas.openxmlformats.org/markup-compatibility/2006">
      <mc:Choice xmlns:a14="http://schemas.microsoft.com/office/drawing/2010/main" Requires="a14">
        <xdr:graphicFrame macro="">
          <xdr:nvGraphicFramePr>
            <xdr:cNvPr id="18" name="Discount Category 1">
              <a:extLst>
                <a:ext uri="{FF2B5EF4-FFF2-40B4-BE49-F238E27FC236}">
                  <a16:creationId xmlns:a16="http://schemas.microsoft.com/office/drawing/2014/main" id="{8355731B-2B8F-496F-98C8-42BC3278938E}"/>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71887" y="4556538"/>
              <a:ext cx="1841244" cy="2349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89859</xdr:colOff>
      <xdr:row>36</xdr:row>
      <xdr:rowOff>89859</xdr:rowOff>
    </xdr:from>
    <xdr:to>
      <xdr:col>3</xdr:col>
      <xdr:colOff>85546</xdr:colOff>
      <xdr:row>49</xdr:row>
      <xdr:rowOff>160847</xdr:rowOff>
    </xdr:to>
    <mc:AlternateContent xmlns:mc="http://schemas.openxmlformats.org/markup-compatibility/2006">
      <mc:Choice xmlns:a14="http://schemas.microsoft.com/office/drawing/2010/main" Requires="a14">
        <xdr:graphicFrame macro="">
          <xdr:nvGraphicFramePr>
            <xdr:cNvPr id="19" name="Rating Category 1">
              <a:extLst>
                <a:ext uri="{FF2B5EF4-FFF2-40B4-BE49-F238E27FC236}">
                  <a16:creationId xmlns:a16="http://schemas.microsoft.com/office/drawing/2014/main" id="{2EAD237A-A577-4CBB-AFA6-B26B5ECF43FB}"/>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89859" y="7165573"/>
              <a:ext cx="1809973" cy="2626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566109</xdr:colOff>
      <xdr:row>40</xdr:row>
      <xdr:rowOff>170731</xdr:rowOff>
    </xdr:from>
    <xdr:to>
      <xdr:col>15</xdr:col>
      <xdr:colOff>249807</xdr:colOff>
      <xdr:row>55</xdr:row>
      <xdr:rowOff>83388</xdr:rowOff>
    </xdr:to>
    <xdr:graphicFrame macro="">
      <xdr:nvGraphicFramePr>
        <xdr:cNvPr id="20" name="Chart 19">
          <a:extLst>
            <a:ext uri="{FF2B5EF4-FFF2-40B4-BE49-F238E27FC236}">
              <a16:creationId xmlns:a16="http://schemas.microsoft.com/office/drawing/2014/main" id="{4D9CE206-447C-4EB5-80F7-EE4502696D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602052</xdr:colOff>
      <xdr:row>40</xdr:row>
      <xdr:rowOff>152760</xdr:rowOff>
    </xdr:from>
    <xdr:to>
      <xdr:col>23</xdr:col>
      <xdr:colOff>285750</xdr:colOff>
      <xdr:row>55</xdr:row>
      <xdr:rowOff>65417</xdr:rowOff>
    </xdr:to>
    <xdr:graphicFrame macro="">
      <xdr:nvGraphicFramePr>
        <xdr:cNvPr id="22" name="Chart 21">
          <a:extLst>
            <a:ext uri="{FF2B5EF4-FFF2-40B4-BE49-F238E27FC236}">
              <a16:creationId xmlns:a16="http://schemas.microsoft.com/office/drawing/2014/main" id="{005AE4CB-F47C-4E2A-8780-F09D757690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2.907285763889" createdVersion="8" refreshedVersion="8" minRefreshableVersion="3" recordCount="112" xr:uid="{C09275DE-2C74-40D4-8AF2-74B3036DAE12}">
  <cacheSource type="worksheet">
    <worksheetSource ref="A1:K113" sheet="Product Performance Analysis"/>
  </cacheSource>
  <cacheFields count="11">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Price Category" numFmtId="49">
      <sharedItems/>
    </cacheField>
    <cacheField name="Old price" numFmtId="164">
      <sharedItems containsSemiMixedTypes="0" containsString="0" containsNumber="1" containsInteger="1" minValue="80" maxValue="6143"/>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49">
      <sharedItems/>
    </cacheField>
    <cacheField name="Review" numFmtId="1">
      <sharedItems containsString="0" containsBlank="1" containsNumber="1" containsInteger="1" minValue="1" maxValue="69"/>
    </cacheField>
    <cacheField name="Rating" numFmtId="165">
      <sharedItems containsString="0" containsBlank="1" containsNumber="1" minValue="2" maxValue="5"/>
    </cacheField>
    <cacheField name="Rating Category" numFmtId="49">
      <sharedItems count="4">
        <s v="Excellent"/>
        <s v="Average"/>
        <s v=""/>
        <s v="Poor"/>
      </sharedItems>
    </cacheField>
    <cacheField name="Engagement"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2.94787916667" createdVersion="8" refreshedVersion="8" minRefreshableVersion="3" recordCount="112" xr:uid="{81491EE2-3812-4C37-9678-AADE8DF5D38E}">
  <cacheSource type="worksheet">
    <worksheetSource ref="A1:J113" sheet="Cleaned"/>
  </cacheSource>
  <cacheFields count="10">
    <cacheField name="Product" numFmtId="0">
      <sharedItems/>
    </cacheField>
    <cacheField name="Current price" numFmtId="164">
      <sharedItems containsSemiMixedTypes="0" containsString="0" containsNumber="1" containsInteger="1" minValue="38" maxValue="3750"/>
    </cacheField>
    <cacheField name="Price Category" numFmtId="164">
      <sharedItems count="3">
        <s v="Medium Price"/>
        <s v="High Price"/>
        <s v="Low Price"/>
      </sharedItems>
    </cacheField>
    <cacheField name="Old price" numFmtId="164">
      <sharedItems containsSemiMixedTypes="0" containsString="0" containsNumber="1" containsInteger="1" minValue="80" maxValue="6143"/>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ount="3">
        <s v="Medium Discount"/>
        <s v="High Discount"/>
        <s v="Low Discount"/>
      </sharedItems>
    </cacheField>
    <cacheField name="Review" numFmtId="1">
      <sharedItems containsMixedTypes="1" containsNumber="1" containsInteger="1" minValue="1" maxValue="69"/>
    </cacheField>
    <cacheField name="Rating" numFmtId="165">
      <sharedItems containsMixedTypes="1" containsNumber="1" minValue="2" maxValue="5"/>
    </cacheField>
    <cacheField name="Rating Category" numFmtId="0">
      <sharedItems count="4">
        <s v="Excellent"/>
        <s v="Average"/>
        <s v="Unknown"/>
        <s v="Poor"/>
      </sharedItems>
    </cacheField>
  </cacheFields>
  <extLst>
    <ext xmlns:x14="http://schemas.microsoft.com/office/spreadsheetml/2009/9/main" uri="{725AE2AE-9491-48be-B2B4-4EB974FC3084}">
      <x14:pivotCacheDefinition pivotCacheId="5792374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s v="Medium Price"/>
    <n v="1525"/>
    <n v="575"/>
    <n v="0.38"/>
    <s v="Medium Discount"/>
    <n v="2"/>
    <n v="4.5"/>
    <x v="0"/>
    <s v="Weak Engagement"/>
  </r>
  <r>
    <x v="1"/>
    <n v="527"/>
    <s v="Medium Price"/>
    <n v="999"/>
    <n v="472"/>
    <n v="0.47"/>
    <s v="High Discount"/>
    <n v="14"/>
    <n v="4.0999999999999996"/>
    <x v="0"/>
    <s v="Strong Engagement"/>
  </r>
  <r>
    <x v="2"/>
    <n v="2199"/>
    <s v="High Price"/>
    <n v="2923"/>
    <n v="724"/>
    <n v="0.25"/>
    <s v="Medium Discount"/>
    <n v="24"/>
    <n v="4.5999999999999996"/>
    <x v="0"/>
    <s v="Strong Engagement"/>
  </r>
  <r>
    <x v="3"/>
    <n v="1580"/>
    <s v="Medium Price"/>
    <n v="2499"/>
    <n v="919"/>
    <n v="0.37"/>
    <s v="Medium Discount"/>
    <n v="7"/>
    <n v="4.7"/>
    <x v="0"/>
    <s v="Average Engagement"/>
  </r>
  <r>
    <x v="4"/>
    <n v="1740"/>
    <s v="High Price"/>
    <n v="2356"/>
    <n v="616"/>
    <n v="0.26"/>
    <s v="Medium Discount"/>
    <n v="5"/>
    <n v="4.8"/>
    <x v="0"/>
    <s v="Weak Engagement"/>
  </r>
  <r>
    <x v="5"/>
    <n v="2999"/>
    <s v="High Price"/>
    <n v="3290"/>
    <n v="291"/>
    <n v="0.09"/>
    <s v="Low Discount"/>
    <n v="15"/>
    <n v="4"/>
    <x v="1"/>
    <s v="Strong Engagement"/>
  </r>
  <r>
    <x v="6"/>
    <n v="2319"/>
    <s v="High Price"/>
    <n v="3032"/>
    <n v="713"/>
    <n v="0.24"/>
    <s v="Medium Discount"/>
    <n v="55"/>
    <n v="4.5999999999999996"/>
    <x v="0"/>
    <s v="Strong Engagement"/>
  </r>
  <r>
    <x v="7"/>
    <n v="988"/>
    <s v="Medium Price"/>
    <n v="1580"/>
    <n v="592"/>
    <n v="0.37"/>
    <s v="Medium Discount"/>
    <n v="2"/>
    <n v="4"/>
    <x v="1"/>
    <s v="Weak Engagement"/>
  </r>
  <r>
    <x v="8"/>
    <n v="1274"/>
    <s v="Medium Price"/>
    <n v="2800"/>
    <n v="1526"/>
    <n v="0.55000000000000004"/>
    <s v="High Discount"/>
    <n v="5"/>
    <n v="4.8"/>
    <x v="0"/>
    <s v="Weak Engagement"/>
  </r>
  <r>
    <x v="9"/>
    <n v="1600"/>
    <s v="Medium Price"/>
    <n v="2929"/>
    <n v="1329"/>
    <n v="0.45"/>
    <s v="High Discount"/>
    <n v="5"/>
    <n v="3.8"/>
    <x v="1"/>
    <s v="Weak Engagement"/>
  </r>
  <r>
    <x v="10"/>
    <n v="799"/>
    <s v="Medium Price"/>
    <n v="999"/>
    <n v="200"/>
    <n v="0.2"/>
    <s v="Medium Discount"/>
    <n v="12"/>
    <n v="4.0999999999999996"/>
    <x v="0"/>
    <s v="Average Engagement"/>
  </r>
  <r>
    <x v="11"/>
    <n v="990"/>
    <s v="Medium Price"/>
    <n v="1500"/>
    <n v="510"/>
    <n v="0.34"/>
    <s v="Medium Discount"/>
    <n v="39"/>
    <n v="4.7"/>
    <x v="0"/>
    <s v="Strong Engagement"/>
  </r>
  <r>
    <x v="12"/>
    <n v="552"/>
    <s v="Medium Price"/>
    <n v="1035"/>
    <n v="483"/>
    <n v="0.47"/>
    <s v="High Discount"/>
    <n v="12"/>
    <n v="4.8"/>
    <x v="0"/>
    <s v="Average Engagement"/>
  </r>
  <r>
    <x v="13"/>
    <n v="501"/>
    <s v="Medium Price"/>
    <n v="860"/>
    <n v="359"/>
    <n v="0.42"/>
    <s v="High Discount"/>
    <n v="6"/>
    <n v="4.5"/>
    <x v="0"/>
    <s v="Average Engagement"/>
  </r>
  <r>
    <x v="14"/>
    <n v="1680"/>
    <s v="High Price"/>
    <n v="2499"/>
    <n v="819"/>
    <n v="0.33"/>
    <s v="Medium Discount"/>
    <n v="9"/>
    <n v="4.2"/>
    <x v="0"/>
    <s v="Average Engagement"/>
  </r>
  <r>
    <x v="15"/>
    <n v="332"/>
    <s v="Low Price"/>
    <n v="684"/>
    <n v="352"/>
    <n v="0.51"/>
    <s v="High Discount"/>
    <n v="2"/>
    <n v="5"/>
    <x v="0"/>
    <s v="Weak Engagement"/>
  </r>
  <r>
    <x v="16"/>
    <n v="195"/>
    <s v="Low Price"/>
    <n v="360"/>
    <n v="165"/>
    <n v="0.46"/>
    <s v="High Discount"/>
    <n v="2"/>
    <n v="5"/>
    <x v="0"/>
    <s v="Weak Engagement"/>
  </r>
  <r>
    <x v="17"/>
    <n v="2025"/>
    <s v="High Price"/>
    <n v="3971"/>
    <n v="1946"/>
    <n v="0.49"/>
    <s v="High Discount"/>
    <n v="3"/>
    <n v="5"/>
    <x v="0"/>
    <s v="Weak Engagement"/>
  </r>
  <r>
    <x v="18"/>
    <n v="2999"/>
    <s v="High Price"/>
    <n v="3699"/>
    <n v="700"/>
    <n v="0.19"/>
    <s v="Low Discount"/>
    <n v="5"/>
    <n v="4.5999999999999996"/>
    <x v="0"/>
    <s v="Weak Engagement"/>
  </r>
  <r>
    <x v="19"/>
    <n v="998"/>
    <s v="Medium Price"/>
    <n v="1966"/>
    <n v="968"/>
    <n v="0.49"/>
    <s v="High Discount"/>
    <n v="44"/>
    <n v="4.5999999999999996"/>
    <x v="0"/>
    <s v="Strong Engagement"/>
  </r>
  <r>
    <x v="20"/>
    <n v="38"/>
    <s v="Low Price"/>
    <n v="80"/>
    <n v="42"/>
    <n v="0.53"/>
    <s v="High Discount"/>
    <n v="13"/>
    <n v="3.3"/>
    <x v="1"/>
    <s v="Average Engagement"/>
  </r>
  <r>
    <x v="21"/>
    <n v="1860"/>
    <s v="High Price"/>
    <n v="3220"/>
    <n v="1360"/>
    <n v="0.42"/>
    <s v="High Discount"/>
    <m/>
    <m/>
    <x v="2"/>
    <s v=""/>
  </r>
  <r>
    <x v="22"/>
    <n v="880"/>
    <s v="Medium Price"/>
    <n v="1350"/>
    <n v="470"/>
    <n v="0.35"/>
    <s v="Medium Discount"/>
    <n v="6"/>
    <n v="4"/>
    <x v="1"/>
    <s v="Average Engagement"/>
  </r>
  <r>
    <x v="23"/>
    <n v="1650"/>
    <s v="Medium Price"/>
    <n v="2150"/>
    <n v="500"/>
    <n v="0.23"/>
    <s v="Medium Discount"/>
    <n v="14"/>
    <n v="4.4000000000000004"/>
    <x v="0"/>
    <s v="Strong Engagement"/>
  </r>
  <r>
    <x v="24"/>
    <n v="2048"/>
    <s v="High Price"/>
    <n v="4500"/>
    <n v="2452"/>
    <n v="0.54"/>
    <s v="High Discount"/>
    <n v="7"/>
    <n v="4.3"/>
    <x v="0"/>
    <s v="Average Engagement"/>
  </r>
  <r>
    <x v="25"/>
    <n v="420"/>
    <s v="Low Price"/>
    <n v="647"/>
    <n v="227"/>
    <n v="0.35"/>
    <s v="Medium Discount"/>
    <n v="49"/>
    <n v="4.5999999999999996"/>
    <x v="0"/>
    <s v="Strong Engagement"/>
  </r>
  <r>
    <x v="26"/>
    <n v="2880"/>
    <s v="High Price"/>
    <n v="3520"/>
    <n v="640"/>
    <n v="0.18"/>
    <s v="Low Discount"/>
    <n v="12"/>
    <n v="3.8"/>
    <x v="1"/>
    <s v="Average Engagement"/>
  </r>
  <r>
    <x v="27"/>
    <n v="1350"/>
    <s v="Medium Price"/>
    <n v="1990"/>
    <n v="640"/>
    <n v="0.32"/>
    <s v="Medium Discount"/>
    <n v="13"/>
    <n v="3.8"/>
    <x v="1"/>
    <s v="Average Engagement"/>
  </r>
  <r>
    <x v="28"/>
    <n v="1758"/>
    <s v="High Price"/>
    <n v="2499"/>
    <n v="741"/>
    <n v="0.3"/>
    <s v="Medium Discount"/>
    <n v="20"/>
    <n v="4.0999999999999996"/>
    <x v="0"/>
    <s v="Strong Engagement"/>
  </r>
  <r>
    <x v="29"/>
    <n v="2200"/>
    <s v="High Price"/>
    <n v="4080"/>
    <n v="1880"/>
    <n v="0.46"/>
    <s v="High Discount"/>
    <m/>
    <m/>
    <x v="2"/>
    <s v=""/>
  </r>
  <r>
    <x v="30"/>
    <n v="185"/>
    <s v="Low Price"/>
    <n v="382"/>
    <n v="197"/>
    <n v="0.52"/>
    <s v="High Discount"/>
    <n v="9"/>
    <n v="4.3"/>
    <x v="0"/>
    <s v="Average Engagement"/>
  </r>
  <r>
    <x v="31"/>
    <n v="980"/>
    <s v="Medium Price"/>
    <n v="1490"/>
    <n v="510"/>
    <n v="0.34"/>
    <s v="Medium Discount"/>
    <n v="12"/>
    <n v="4.7"/>
    <x v="0"/>
    <s v="Average Engagement"/>
  </r>
  <r>
    <x v="32"/>
    <n v="1820"/>
    <s v="High Price"/>
    <n v="3490"/>
    <n v="1670"/>
    <n v="0.48"/>
    <s v="High Discount"/>
    <n v="9"/>
    <n v="4.3"/>
    <x v="0"/>
    <s v="Average Engagement"/>
  </r>
  <r>
    <x v="33"/>
    <n v="1940"/>
    <s v="High Price"/>
    <n v="2650"/>
    <n v="710"/>
    <n v="0.27"/>
    <s v="Medium Discount"/>
    <n v="20"/>
    <n v="4.7"/>
    <x v="0"/>
    <s v="Strong Engagement"/>
  </r>
  <r>
    <x v="34"/>
    <n v="1980"/>
    <s v="High Price"/>
    <n v="2699"/>
    <n v="719"/>
    <n v="0.27"/>
    <s v="Medium Discount"/>
    <n v="32"/>
    <n v="4.5"/>
    <x v="0"/>
    <s v="Strong Engagement"/>
  </r>
  <r>
    <x v="35"/>
    <n v="1620"/>
    <s v="Medium Price"/>
    <n v="2690"/>
    <n v="1070"/>
    <n v="0.4"/>
    <s v="Medium Discount"/>
    <n v="1"/>
    <n v="5"/>
    <x v="0"/>
    <s v="Weak Engagement"/>
  </r>
  <r>
    <x v="36"/>
    <n v="171"/>
    <s v="Low Price"/>
    <n v="360"/>
    <n v="189"/>
    <n v="0.53"/>
    <s v="High Discount"/>
    <n v="2"/>
    <n v="5"/>
    <x v="0"/>
    <s v="Weak Engagement"/>
  </r>
  <r>
    <x v="37"/>
    <n v="389"/>
    <s v="Low Price"/>
    <n v="656"/>
    <n v="267"/>
    <n v="0.41"/>
    <s v="High Discount"/>
    <n v="36"/>
    <n v="4.3"/>
    <x v="0"/>
    <s v="Strong Engagement"/>
  </r>
  <r>
    <x v="38"/>
    <n v="1800"/>
    <s v="High Price"/>
    <n v="2700"/>
    <n v="900"/>
    <n v="0.38"/>
    <s v="Medium Discount"/>
    <n v="2"/>
    <n v="4.5"/>
    <x v="0"/>
    <s v="Weak Engagement"/>
  </r>
  <r>
    <x v="39"/>
    <n v="2750"/>
    <s v="High Price"/>
    <n v="4471"/>
    <n v="1721"/>
    <n v="0.38"/>
    <s v="Medium Discount"/>
    <m/>
    <m/>
    <x v="2"/>
    <s v=""/>
  </r>
  <r>
    <x v="40"/>
    <n v="475"/>
    <s v="Low Price"/>
    <n v="931"/>
    <n v="456"/>
    <n v="0.49"/>
    <s v="High Discount"/>
    <m/>
    <m/>
    <x v="2"/>
    <s v=""/>
  </r>
  <r>
    <x v="41"/>
    <n v="238"/>
    <s v="Low Price"/>
    <n v="476"/>
    <n v="238"/>
    <n v="0.5"/>
    <s v="High Discount"/>
    <m/>
    <m/>
    <x v="2"/>
    <s v=""/>
  </r>
  <r>
    <x v="42"/>
    <n v="610"/>
    <s v="Medium Price"/>
    <n v="1060"/>
    <n v="450"/>
    <n v="0.42"/>
    <s v="High Discount"/>
    <m/>
    <m/>
    <x v="2"/>
    <s v=""/>
  </r>
  <r>
    <x v="43"/>
    <n v="2132"/>
    <s v="High Price"/>
    <n v="2169"/>
    <n v="37"/>
    <n v="0.02"/>
    <s v="Low Discount"/>
    <m/>
    <m/>
    <x v="2"/>
    <s v=""/>
  </r>
  <r>
    <x v="44"/>
    <n v="999"/>
    <s v="Medium Price"/>
    <n v="2000"/>
    <n v="1001"/>
    <n v="0.5"/>
    <s v="High Discount"/>
    <m/>
    <m/>
    <x v="2"/>
    <s v=""/>
  </r>
  <r>
    <x v="45"/>
    <n v="1190"/>
    <s v="Medium Price"/>
    <n v="1785"/>
    <n v="595"/>
    <n v="0.33"/>
    <s v="Medium Discount"/>
    <m/>
    <m/>
    <x v="2"/>
    <s v=""/>
  </r>
  <r>
    <x v="46"/>
    <n v="671"/>
    <s v="Medium Price"/>
    <n v="1316"/>
    <n v="645"/>
    <n v="0.49"/>
    <s v="High Discount"/>
    <m/>
    <m/>
    <x v="2"/>
    <s v=""/>
  </r>
  <r>
    <x v="47"/>
    <n v="1200"/>
    <s v="Medium Price"/>
    <n v="1950"/>
    <n v="750"/>
    <n v="0.38"/>
    <s v="Medium Discount"/>
    <m/>
    <m/>
    <x v="2"/>
    <s v=""/>
  </r>
  <r>
    <x v="48"/>
    <n v="199"/>
    <s v="Low Price"/>
    <n v="504"/>
    <n v="305"/>
    <n v="0.61"/>
    <s v="High Discount"/>
    <m/>
    <m/>
    <x v="2"/>
    <s v=""/>
  </r>
  <r>
    <x v="49"/>
    <n v="299"/>
    <s v="Low Price"/>
    <n v="600"/>
    <n v="301"/>
    <n v="0.5"/>
    <s v="High Discount"/>
    <m/>
    <m/>
    <x v="2"/>
    <s v=""/>
  </r>
  <r>
    <x v="50"/>
    <n v="1660"/>
    <s v="Medium Price"/>
    <n v="1699"/>
    <n v="39"/>
    <n v="0.02"/>
    <s v="Low Discount"/>
    <m/>
    <m/>
    <x v="2"/>
    <s v=""/>
  </r>
  <r>
    <x v="51"/>
    <n v="299"/>
    <s v="Low Price"/>
    <n v="384"/>
    <n v="85"/>
    <n v="0.22"/>
    <s v="Medium Discount"/>
    <m/>
    <m/>
    <x v="2"/>
    <s v=""/>
  </r>
  <r>
    <x v="52"/>
    <n v="1459"/>
    <s v="Medium Price"/>
    <n v="1499"/>
    <n v="40"/>
    <n v="0.03"/>
    <s v="Low Discount"/>
    <m/>
    <m/>
    <x v="2"/>
    <s v=""/>
  </r>
  <r>
    <x v="53"/>
    <n v="799"/>
    <s v="Medium Price"/>
    <n v="1343"/>
    <n v="544"/>
    <n v="0.41"/>
    <s v="High Discount"/>
    <m/>
    <m/>
    <x v="2"/>
    <s v=""/>
  </r>
  <r>
    <x v="54"/>
    <n v="499"/>
    <s v="Medium Price"/>
    <n v="900"/>
    <n v="401"/>
    <n v="0.45"/>
    <s v="High Discount"/>
    <m/>
    <m/>
    <x v="2"/>
    <s v=""/>
  </r>
  <r>
    <x v="55"/>
    <n v="699"/>
    <s v="Medium Price"/>
    <n v="1343"/>
    <n v="644"/>
    <n v="0.48"/>
    <s v="High Discount"/>
    <m/>
    <m/>
    <x v="2"/>
    <s v=""/>
  </r>
  <r>
    <x v="56"/>
    <n v="799"/>
    <s v="Medium Price"/>
    <n v="1567"/>
    <n v="768"/>
    <n v="0.49"/>
    <s v="High Discount"/>
    <m/>
    <m/>
    <x v="2"/>
    <s v=""/>
  </r>
  <r>
    <x v="57"/>
    <n v="2799"/>
    <s v="High Price"/>
    <n v="3810"/>
    <n v="1011"/>
    <n v="0.27"/>
    <s v="Medium Discount"/>
    <m/>
    <m/>
    <x v="2"/>
    <s v=""/>
  </r>
  <r>
    <x v="54"/>
    <n v="399"/>
    <s v="Low Price"/>
    <n v="896"/>
    <n v="497"/>
    <n v="0.55000000000000004"/>
    <s v="High Discount"/>
    <m/>
    <m/>
    <x v="2"/>
    <s v=""/>
  </r>
  <r>
    <x v="58"/>
    <n v="2170"/>
    <s v="High Price"/>
    <n v="2500"/>
    <n v="330"/>
    <n v="0.13"/>
    <s v="Low Discount"/>
    <n v="6"/>
    <n v="2.5"/>
    <x v="3"/>
    <s v="Average Engagement"/>
  </r>
  <r>
    <x v="59"/>
    <n v="458"/>
    <s v="Low Price"/>
    <n v="986"/>
    <n v="528"/>
    <n v="0.54"/>
    <s v="High Discount"/>
    <n v="10"/>
    <n v="3"/>
    <x v="1"/>
    <s v="Average Engagement"/>
  </r>
  <r>
    <x v="60"/>
    <n v="2115"/>
    <s v="High Price"/>
    <n v="4700"/>
    <n v="2585"/>
    <n v="0.55000000000000004"/>
    <s v="High Discount"/>
    <n v="13"/>
    <n v="2.1"/>
    <x v="3"/>
    <s v="Average Engagement"/>
  </r>
  <r>
    <x v="61"/>
    <n v="445"/>
    <s v="Low Price"/>
    <n v="873"/>
    <n v="428"/>
    <n v="0.49"/>
    <s v="High Discount"/>
    <n v="69"/>
    <n v="2.8"/>
    <x v="3"/>
    <s v="Average Engagement"/>
  </r>
  <r>
    <x v="62"/>
    <n v="325"/>
    <s v="Low Price"/>
    <n v="680"/>
    <n v="355"/>
    <n v="0.52"/>
    <s v="High Discount"/>
    <n v="15"/>
    <n v="2.7"/>
    <x v="3"/>
    <s v="Average Engagement"/>
  </r>
  <r>
    <x v="63"/>
    <n v="1220"/>
    <s v="Medium Price"/>
    <n v="1555"/>
    <n v="335"/>
    <n v="0.22"/>
    <s v="Medium Discount"/>
    <n v="16"/>
    <n v="2.9"/>
    <x v="3"/>
    <s v="Average Engagement"/>
  </r>
  <r>
    <x v="64"/>
    <n v="990"/>
    <s v="Medium Price"/>
    <n v="1814"/>
    <n v="824"/>
    <n v="0.45"/>
    <s v="High Discount"/>
    <n v="6"/>
    <n v="2.2000000000000002"/>
    <x v="3"/>
    <s v="Average Engagement"/>
  </r>
  <r>
    <x v="65"/>
    <n v="1000"/>
    <s v="Medium Price"/>
    <n v="2000"/>
    <n v="1000"/>
    <n v="0.5"/>
    <s v="High Discount"/>
    <n v="7"/>
    <n v="2.2999999999999998"/>
    <x v="3"/>
    <s v="Average Engagement"/>
  </r>
  <r>
    <x v="66"/>
    <n v="3750"/>
    <s v="High Price"/>
    <n v="6143"/>
    <n v="2393"/>
    <n v="0.39"/>
    <s v="Medium Discount"/>
    <n v="5"/>
    <n v="3"/>
    <x v="1"/>
    <s v="Weak Engagement"/>
  </r>
  <r>
    <x v="67"/>
    <n v="382"/>
    <s v="Low Price"/>
    <n v="700"/>
    <n v="318"/>
    <n v="0.45"/>
    <s v="High Discount"/>
    <n v="17"/>
    <n v="2.6"/>
    <x v="3"/>
    <s v="Average Engagement"/>
  </r>
  <r>
    <x v="68"/>
    <n v="2300"/>
    <s v="High Price"/>
    <n v="3240"/>
    <n v="940"/>
    <n v="0.28999999999999998"/>
    <s v="Medium Discount"/>
    <n v="5"/>
    <n v="3"/>
    <x v="1"/>
    <s v="Weak Engagement"/>
  </r>
  <r>
    <x v="69"/>
    <n v="345"/>
    <s v="Low Price"/>
    <n v="602"/>
    <n v="257"/>
    <n v="0.43"/>
    <s v="High Discount"/>
    <n v="6"/>
    <n v="2.2999999999999998"/>
    <x v="3"/>
    <s v="Average Engagement"/>
  </r>
  <r>
    <x v="70"/>
    <n v="509"/>
    <s v="Medium Price"/>
    <n v="899"/>
    <n v="390"/>
    <n v="0.43"/>
    <s v="High Discount"/>
    <n v="5"/>
    <n v="3"/>
    <x v="1"/>
    <s v="Weak Engagement"/>
  </r>
  <r>
    <x v="71"/>
    <n v="968"/>
    <s v="Medium Price"/>
    <n v="1814"/>
    <n v="846"/>
    <n v="0.47"/>
    <s v="High Discount"/>
    <n v="6"/>
    <n v="2.2000000000000002"/>
    <x v="3"/>
    <s v="Average Engagement"/>
  </r>
  <r>
    <x v="72"/>
    <n v="1570"/>
    <s v="Medium Price"/>
    <n v="2988"/>
    <n v="1418"/>
    <n v="0.47"/>
    <s v="High Discount"/>
    <n v="7"/>
    <n v="2.1"/>
    <x v="3"/>
    <s v="Average Engagement"/>
  </r>
  <r>
    <x v="73"/>
    <n v="790"/>
    <s v="Medium Price"/>
    <n v="1485"/>
    <n v="695"/>
    <n v="0.47"/>
    <s v="High Discount"/>
    <m/>
    <m/>
    <x v="2"/>
    <s v=""/>
  </r>
  <r>
    <x v="74"/>
    <n v="690"/>
    <s v="Medium Price"/>
    <n v="1200"/>
    <n v="510"/>
    <n v="0.43"/>
    <s v="High Discount"/>
    <m/>
    <m/>
    <x v="2"/>
    <s v=""/>
  </r>
  <r>
    <x v="75"/>
    <n v="1732"/>
    <s v="High Price"/>
    <n v="1799"/>
    <n v="67"/>
    <n v="0.04"/>
    <s v="Low Discount"/>
    <m/>
    <m/>
    <x v="2"/>
    <s v=""/>
  </r>
  <r>
    <x v="76"/>
    <n v="230"/>
    <s v="Low Price"/>
    <n v="450"/>
    <n v="220"/>
    <n v="0.49"/>
    <s v="High Discount"/>
    <m/>
    <m/>
    <x v="2"/>
    <s v=""/>
  </r>
  <r>
    <x v="77"/>
    <n v="1189"/>
    <s v="Medium Price"/>
    <n v="2199"/>
    <n v="1010"/>
    <n v="0.46"/>
    <s v="High Discount"/>
    <n v="1"/>
    <n v="3"/>
    <x v="1"/>
    <s v="Weak Engagement"/>
  </r>
  <r>
    <x v="78"/>
    <n v="979"/>
    <s v="Medium Price"/>
    <n v="1920"/>
    <n v="941"/>
    <n v="0.49"/>
    <s v="High Discount"/>
    <n v="1"/>
    <n v="5"/>
    <x v="0"/>
    <s v="Weak Engagement"/>
  </r>
  <r>
    <x v="79"/>
    <n v="1460"/>
    <s v="Medium Price"/>
    <n v="2290"/>
    <n v="830"/>
    <n v="0.36"/>
    <s v="Medium Discount"/>
    <m/>
    <m/>
    <x v="2"/>
    <s v=""/>
  </r>
  <r>
    <x v="80"/>
    <n v="1666"/>
    <s v="Medium Price"/>
    <n v="1699"/>
    <n v="33"/>
    <n v="0.02"/>
    <s v="Low Discount"/>
    <m/>
    <m/>
    <x v="2"/>
    <s v=""/>
  </r>
  <r>
    <x v="81"/>
    <n v="330"/>
    <s v="Low Price"/>
    <n v="647"/>
    <n v="317"/>
    <n v="0.49"/>
    <s v="High Discount"/>
    <n v="1"/>
    <n v="4"/>
    <x v="1"/>
    <s v="Weak Engagement"/>
  </r>
  <r>
    <x v="48"/>
    <n v="176"/>
    <s v="Low Price"/>
    <n v="345"/>
    <n v="169"/>
    <n v="0.49"/>
    <s v="High Discount"/>
    <m/>
    <m/>
    <x v="2"/>
    <s v=""/>
  </r>
  <r>
    <x v="82"/>
    <n v="1466"/>
    <s v="Medium Price"/>
    <n v="1699"/>
    <n v="233"/>
    <n v="0.14000000000000001"/>
    <s v="Low Discount"/>
    <m/>
    <m/>
    <x v="2"/>
    <s v=""/>
  </r>
  <r>
    <x v="83"/>
    <n v="274"/>
    <s v="Low Price"/>
    <n v="537"/>
    <n v="263"/>
    <n v="0.49"/>
    <s v="High Discount"/>
    <m/>
    <m/>
    <x v="2"/>
    <s v=""/>
  </r>
  <r>
    <x v="84"/>
    <n v="799"/>
    <s v="Medium Price"/>
    <n v="900"/>
    <n v="101"/>
    <n v="0.11"/>
    <s v="Low Discount"/>
    <m/>
    <m/>
    <x v="2"/>
    <s v=""/>
  </r>
  <r>
    <x v="56"/>
    <n v="657"/>
    <s v="Medium Price"/>
    <n v="1288"/>
    <n v="631"/>
    <n v="0.49"/>
    <s v="High Discount"/>
    <m/>
    <m/>
    <x v="2"/>
    <s v=""/>
  </r>
  <r>
    <x v="85"/>
    <n v="1468"/>
    <s v="Medium Price"/>
    <n v="1699"/>
    <n v="231"/>
    <n v="0.14000000000000001"/>
    <s v="Low Discount"/>
    <m/>
    <m/>
    <x v="2"/>
    <s v=""/>
  </r>
  <r>
    <x v="86"/>
    <n v="630"/>
    <s v="Medium Price"/>
    <n v="1100"/>
    <n v="470"/>
    <n v="0.43"/>
    <s v="High Discount"/>
    <m/>
    <m/>
    <x v="2"/>
    <s v=""/>
  </r>
  <r>
    <x v="87"/>
    <n v="850"/>
    <s v="Medium Price"/>
    <n v="1700"/>
    <n v="850"/>
    <n v="0.5"/>
    <s v="High Discount"/>
    <m/>
    <m/>
    <x v="2"/>
    <s v=""/>
  </r>
  <r>
    <x v="88"/>
    <n v="1300"/>
    <s v="Medium Price"/>
    <n v="2500"/>
    <n v="1200"/>
    <n v="0.48"/>
    <s v="High Discount"/>
    <m/>
    <m/>
    <x v="2"/>
    <s v=""/>
  </r>
  <r>
    <x v="89"/>
    <n v="105"/>
    <s v="Low Price"/>
    <n v="200"/>
    <n v="95"/>
    <n v="0.48"/>
    <s v="High Discount"/>
    <m/>
    <m/>
    <x v="2"/>
    <s v=""/>
  </r>
  <r>
    <x v="90"/>
    <n v="899"/>
    <s v="Medium Price"/>
    <n v="1699"/>
    <n v="800"/>
    <n v="0.47"/>
    <s v="High Discount"/>
    <m/>
    <m/>
    <x v="2"/>
    <s v=""/>
  </r>
  <r>
    <x v="91"/>
    <n v="1200"/>
    <s v="Medium Price"/>
    <n v="2400"/>
    <n v="1200"/>
    <n v="0.5"/>
    <s v="High Discount"/>
    <m/>
    <m/>
    <x v="2"/>
    <s v=""/>
  </r>
  <r>
    <x v="92"/>
    <n v="1526"/>
    <s v="Medium Price"/>
    <n v="1660"/>
    <n v="134"/>
    <n v="0.08"/>
    <s v="Low Discount"/>
    <m/>
    <m/>
    <x v="2"/>
    <s v=""/>
  </r>
  <r>
    <x v="93"/>
    <n v="1462"/>
    <s v="Medium Price"/>
    <n v="1499"/>
    <n v="37"/>
    <n v="0.02"/>
    <s v="Low Discount"/>
    <m/>
    <m/>
    <x v="2"/>
    <s v=""/>
  </r>
  <r>
    <x v="94"/>
    <n v="248"/>
    <s v="Low Price"/>
    <n v="486"/>
    <n v="238"/>
    <n v="0.49"/>
    <s v="High Discount"/>
    <m/>
    <m/>
    <x v="2"/>
    <s v=""/>
  </r>
  <r>
    <x v="95"/>
    <n v="3546"/>
    <s v="High Price"/>
    <n v="3699"/>
    <n v="153"/>
    <n v="0.04"/>
    <s v="Low Discount"/>
    <m/>
    <m/>
    <x v="2"/>
    <s v=""/>
  </r>
  <r>
    <x v="96"/>
    <n v="525"/>
    <s v="Medium Price"/>
    <n v="1029"/>
    <n v="504"/>
    <n v="0.49"/>
    <s v="High Discount"/>
    <m/>
    <m/>
    <x v="2"/>
    <s v=""/>
  </r>
  <r>
    <x v="97"/>
    <n v="1080"/>
    <s v="Medium Price"/>
    <n v="1874"/>
    <n v="794"/>
    <n v="0.42"/>
    <s v="High Discount"/>
    <m/>
    <m/>
    <x v="2"/>
    <s v=""/>
  </r>
  <r>
    <x v="98"/>
    <n v="3640"/>
    <s v="High Price"/>
    <n v="4588"/>
    <n v="948"/>
    <n v="0.21"/>
    <s v="Medium Discount"/>
    <n v="1"/>
    <n v="5"/>
    <x v="0"/>
    <s v="Weak Engagement"/>
  </r>
  <r>
    <x v="99"/>
    <n v="1420"/>
    <s v="Medium Price"/>
    <n v="2420"/>
    <n v="1000"/>
    <n v="0.41"/>
    <s v="High Discount"/>
    <m/>
    <m/>
    <x v="2"/>
    <s v=""/>
  </r>
  <r>
    <x v="100"/>
    <n v="1875"/>
    <s v="High Price"/>
    <n v="1899"/>
    <n v="24"/>
    <n v="0.01"/>
    <s v="Low Discount"/>
    <m/>
    <m/>
    <x v="2"/>
    <s v=""/>
  </r>
  <r>
    <x v="101"/>
    <n v="198"/>
    <s v="Low Price"/>
    <n v="260"/>
    <n v="62"/>
    <n v="0.24"/>
    <s v="Medium Discount"/>
    <m/>
    <m/>
    <x v="2"/>
    <s v=""/>
  </r>
  <r>
    <x v="102"/>
    <n v="1150"/>
    <s v="Medium Price"/>
    <n v="1737"/>
    <n v="587"/>
    <n v="0.34"/>
    <s v="Medium Discount"/>
    <m/>
    <m/>
    <x v="2"/>
    <s v=""/>
  </r>
  <r>
    <x v="103"/>
    <n v="1190"/>
    <s v="Medium Price"/>
    <n v="1810"/>
    <n v="620"/>
    <n v="0.34"/>
    <s v="Medium Discount"/>
    <m/>
    <m/>
    <x v="2"/>
    <s v=""/>
  </r>
  <r>
    <x v="104"/>
    <n v="1658"/>
    <s v="Medium Price"/>
    <n v="1699"/>
    <n v="41"/>
    <n v="0.02"/>
    <s v="Low Discount"/>
    <m/>
    <m/>
    <x v="2"/>
    <s v=""/>
  </r>
  <r>
    <x v="105"/>
    <n v="1768"/>
    <s v="High Price"/>
    <n v="1799"/>
    <n v="31"/>
    <n v="0.02"/>
    <s v="Low Discount"/>
    <m/>
    <m/>
    <x v="2"/>
    <s v=""/>
  </r>
  <r>
    <x v="106"/>
    <n v="199"/>
    <s v="Low Price"/>
    <n v="553"/>
    <n v="354"/>
    <n v="0.64"/>
    <s v="High Discount"/>
    <m/>
    <m/>
    <x v="2"/>
    <s v=""/>
  </r>
  <r>
    <x v="107"/>
    <n v="450"/>
    <s v="Low Price"/>
    <n v="900"/>
    <n v="450"/>
    <n v="0.5"/>
    <s v="High Discount"/>
    <n v="1"/>
    <n v="2"/>
    <x v="3"/>
    <s v="Weak Engagement"/>
  </r>
  <r>
    <x v="108"/>
    <n v="169"/>
    <s v="Low Price"/>
    <n v="320"/>
    <n v="151"/>
    <n v="0.47"/>
    <s v="High Discount"/>
    <m/>
    <m/>
    <x v="2"/>
    <s v=""/>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s v="115 Piece Set Of Multifunctional Precision Screwdrivers"/>
    <n v="950"/>
    <x v="0"/>
    <n v="1525"/>
    <n v="575"/>
    <n v="0.38"/>
    <x v="0"/>
    <n v="2"/>
    <n v="4.5"/>
    <x v="0"/>
  </r>
  <r>
    <s v="Metal Decorative Hooks Key Hangers Entryway Wall Hooks Towel Hooks - Home"/>
    <n v="527"/>
    <x v="0"/>
    <n v="999"/>
    <n v="472"/>
    <n v="0.47"/>
    <x v="1"/>
    <n v="14"/>
    <n v="4.0999999999999996"/>
    <x v="0"/>
  </r>
  <r>
    <s v="Portable Mini Cordless Car Vacuum Cleaner - Blue"/>
    <n v="2199"/>
    <x v="1"/>
    <n v="2923"/>
    <n v="724"/>
    <n v="0.25"/>
    <x v="0"/>
    <n v="24"/>
    <n v="4.5999999999999996"/>
    <x v="0"/>
  </r>
  <r>
    <s v="Weighing Scale Digital Bathroom Body Fat Scale USB-Black"/>
    <n v="1580"/>
    <x v="0"/>
    <n v="2499"/>
    <n v="919"/>
    <n v="0.37"/>
    <x v="0"/>
    <n v="7"/>
    <n v="4.7"/>
    <x v="0"/>
  </r>
  <r>
    <s v="Portable Home Small Air Humidifier 3-Speed Fan - Green"/>
    <n v="1740"/>
    <x v="1"/>
    <n v="2356"/>
    <n v="616"/>
    <n v="0.26"/>
    <x v="0"/>
    <n v="5"/>
    <n v="4.8"/>
    <x v="0"/>
  </r>
  <r>
    <s v="220V 60W Electric Soldering Iron Kits With Tools, Tips, And Multimeter"/>
    <n v="2999"/>
    <x v="1"/>
    <n v="3290"/>
    <n v="291"/>
    <n v="0.09"/>
    <x v="2"/>
    <n v="15"/>
    <n v="4"/>
    <x v="1"/>
  </r>
  <r>
    <s v="137 Pieces Cake Decorating Tool Set Baking Supplies"/>
    <n v="2319"/>
    <x v="1"/>
    <n v="3032"/>
    <n v="713"/>
    <n v="0.24"/>
    <x v="0"/>
    <n v="55"/>
    <n v="4.5999999999999996"/>
    <x v="0"/>
  </r>
  <r>
    <s v="Desk Foldable Fan Adjustable Fan Strong Wind 3 Gear Usb"/>
    <n v="988"/>
    <x v="0"/>
    <n v="1580"/>
    <n v="592"/>
    <n v="0.37"/>
    <x v="0"/>
    <n v="2"/>
    <n v="4"/>
    <x v="1"/>
  </r>
  <r>
    <s v="LASA FOLDING TABLE SERVING STAND"/>
    <n v="1274"/>
    <x v="0"/>
    <n v="2800"/>
    <n v="1526"/>
    <n v="0.55000000000000004"/>
    <x v="1"/>
    <n v="5"/>
    <n v="4.8"/>
    <x v="0"/>
  </r>
  <r>
    <s v="13 In 1 Home Repair Tools Box Kit Set"/>
    <n v="1600"/>
    <x v="0"/>
    <n v="2929"/>
    <n v="1329"/>
    <n v="0.45"/>
    <x v="1"/>
    <n v="5"/>
    <n v="3.8"/>
    <x v="1"/>
  </r>
  <r>
    <s v="Genebre 115 In 1 Screwdriver Repairing Tool Set For IPhone Cellphone Hand Tool"/>
    <n v="799"/>
    <x v="0"/>
    <n v="999"/>
    <n v="200"/>
    <n v="0.2"/>
    <x v="0"/>
    <n v="12"/>
    <n v="4.0999999999999996"/>
    <x v="0"/>
  </r>
  <r>
    <s v="100 Pcs Crochet Hook Tool Set Knitting Hook Set With Box"/>
    <n v="990"/>
    <x v="0"/>
    <n v="1500"/>
    <n v="510"/>
    <n v="0.34"/>
    <x v="0"/>
    <n v="39"/>
    <n v="4.7"/>
    <x v="0"/>
  </r>
  <r>
    <s v="40cm Gold DIY Acrylic Wall Sticker Clock"/>
    <n v="552"/>
    <x v="0"/>
    <n v="1035"/>
    <n v="483"/>
    <n v="0.47"/>
    <x v="1"/>
    <n v="12"/>
    <n v="4.8"/>
    <x v="0"/>
  </r>
  <r>
    <s v="LASA Digital Thermometer And Hydrometer"/>
    <n v="501"/>
    <x v="0"/>
    <n v="860"/>
    <n v="359"/>
    <n v="0.42"/>
    <x v="1"/>
    <n v="6"/>
    <n v="4.5"/>
    <x v="0"/>
  </r>
  <r>
    <s v="Multifunction Laser Level With Adjustment Tripod"/>
    <n v="1680"/>
    <x v="1"/>
    <n v="2499"/>
    <n v="819"/>
    <n v="0.33"/>
    <x v="0"/>
    <n v="9"/>
    <n v="4.2"/>
    <x v="0"/>
  </r>
  <r>
    <s v="Anti-Skid Absorbent Insulation Coaster For Home Office"/>
    <n v="332"/>
    <x v="2"/>
    <n v="684"/>
    <n v="352"/>
    <n v="0.51"/>
    <x v="1"/>
    <n v="2"/>
    <n v="5"/>
    <x v="0"/>
  </r>
  <r>
    <s v="Peacock Throw Pillow Cushion Case For Home Car"/>
    <n v="195"/>
    <x v="2"/>
    <n v="360"/>
    <n v="165"/>
    <n v="0.46"/>
    <x v="1"/>
    <n v="2"/>
    <n v="5"/>
    <x v="0"/>
  </r>
  <r>
    <s v="LASA Aluminum Folding Truck Hand Cart - 68kg Max"/>
    <n v="2025"/>
    <x v="1"/>
    <n v="3971"/>
    <n v="1946"/>
    <n v="0.49"/>
    <x v="1"/>
    <n v="3"/>
    <n v="5"/>
    <x v="0"/>
  </r>
  <r>
    <s v="LED Wall Digital Alarm Clock Study Home 12 / 24H Clock Calendar"/>
    <n v="2999"/>
    <x v="1"/>
    <n v="3699"/>
    <n v="700"/>
    <n v="0.19"/>
    <x v="2"/>
    <n v="5"/>
    <n v="4.5999999999999996"/>
    <x v="0"/>
  </r>
  <r>
    <s v="3D Waterproof EVA Plastic Shower Curtain 1.8*2Mtrs"/>
    <n v="998"/>
    <x v="0"/>
    <n v="1966"/>
    <n v="968"/>
    <n v="0.49"/>
    <x v="1"/>
    <n v="44"/>
    <n v="4.5999999999999996"/>
    <x v="0"/>
  </r>
  <r>
    <s v="3PCS Single Head Knitting Crochet Sweater Needle Set"/>
    <n v="38"/>
    <x v="2"/>
    <n v="80"/>
    <n v="42"/>
    <n v="0.53"/>
    <x v="1"/>
    <n v="13"/>
    <n v="3.3"/>
    <x v="1"/>
  </r>
  <r>
    <s v="4pcs Bathroom/Kitchen Towel Rack,Roll Paper Holder,Towel Bars,Hook"/>
    <n v="1860"/>
    <x v="1"/>
    <n v="3220"/>
    <n v="1360"/>
    <n v="0.42"/>
    <x v="1"/>
    <s v="Unknown"/>
    <s v="Unknown"/>
    <x v="2"/>
  </r>
  <r>
    <s v="LED Romantic Spaceship Starry Sky Projector,Children's Bedroom Night Light-Blue"/>
    <n v="880"/>
    <x v="0"/>
    <n v="1350"/>
    <n v="470"/>
    <n v="0.35"/>
    <x v="0"/>
    <n v="6"/>
    <n v="4"/>
    <x v="1"/>
  </r>
  <r>
    <s v="Foldable Overbed Table/Desk"/>
    <n v="1650"/>
    <x v="0"/>
    <n v="2150"/>
    <n v="500"/>
    <n v="0.23"/>
    <x v="0"/>
    <n v="14"/>
    <n v="4.4000000000000004"/>
    <x v="0"/>
  </r>
  <r>
    <s v="LASA 3 Tier Bamboo Shoe Bench Storage Shelf"/>
    <n v="2048"/>
    <x v="1"/>
    <n v="4500"/>
    <n v="2452"/>
    <n v="0.54"/>
    <x v="1"/>
    <n v="7"/>
    <n v="4.3"/>
    <x v="0"/>
  </r>
  <r>
    <s v="Electronic Digital Display Vernier Caliper"/>
    <n v="420"/>
    <x v="2"/>
    <n v="647"/>
    <n v="227"/>
    <n v="0.35"/>
    <x v="0"/>
    <n v="49"/>
    <n v="4.5999999999999996"/>
    <x v="0"/>
  </r>
  <r>
    <s v="Portable Wardrobe Nonwoven With 3 Hanging Rods And 6 Storage Shelves"/>
    <n v="2880"/>
    <x v="1"/>
    <n v="3520"/>
    <n v="640"/>
    <n v="0.18"/>
    <x v="2"/>
    <n v="12"/>
    <n v="3.8"/>
    <x v="1"/>
  </r>
  <r>
    <s v="12 Litre Black Insulated Lunch Box"/>
    <n v="1350"/>
    <x v="0"/>
    <n v="1990"/>
    <n v="640"/>
    <n v="0.32"/>
    <x v="0"/>
    <n v="13"/>
    <n v="3.8"/>
    <x v="1"/>
  </r>
  <r>
    <s v="52 Pieces Cake Decorating Tool Set Gift Kit Baking Supplies"/>
    <n v="1758"/>
    <x v="1"/>
    <n v="2499"/>
    <n v="741"/>
    <n v="0.3"/>
    <x v="0"/>
    <n v="20"/>
    <n v="4.0999999999999996"/>
    <x v="0"/>
  </r>
  <r>
    <s v="MultiFunctional Storage Rack Multi-layer Bookshelf"/>
    <n v="2200"/>
    <x v="1"/>
    <n v="4080"/>
    <n v="1880"/>
    <n v="0.46"/>
    <x v="1"/>
    <s v="Unknown"/>
    <s v="Unknown"/>
    <x v="2"/>
  </r>
  <r>
    <s v="Exfoliate And Exfoliate Face Towel - Black"/>
    <n v="185"/>
    <x v="2"/>
    <n v="382"/>
    <n v="197"/>
    <n v="0.52"/>
    <x v="1"/>
    <n v="9"/>
    <n v="4.3"/>
    <x v="0"/>
  </r>
  <r>
    <s v="12 Litre Insulated Lunch Box Grey"/>
    <n v="980"/>
    <x v="0"/>
    <n v="1490"/>
    <n v="510"/>
    <n v="0.34"/>
    <x v="0"/>
    <n v="12"/>
    <n v="4.7"/>
    <x v="0"/>
  </r>
  <r>
    <s v="LED Eye Protection Desk Lamp , Study, Reading, USB Fan - Double Pen Holder"/>
    <n v="1820"/>
    <x v="1"/>
    <n v="3490"/>
    <n v="1670"/>
    <n v="0.48"/>
    <x v="1"/>
    <n v="9"/>
    <n v="4.3"/>
    <x v="0"/>
  </r>
  <r>
    <s v="53Pcs/Set Yarn Knitting Crochet Hooks With Bag - Fortune Cat"/>
    <n v="1940"/>
    <x v="1"/>
    <n v="2650"/>
    <n v="710"/>
    <n v="0.27"/>
    <x v="0"/>
    <n v="20"/>
    <n v="4.7"/>
    <x v="0"/>
  </r>
  <r>
    <s v="53 Pieces/Set Yarn Knitting Crochet Hooks With Bag - Pansies"/>
    <n v="1980"/>
    <x v="1"/>
    <n v="2699"/>
    <n v="719"/>
    <n v="0.27"/>
    <x v="0"/>
    <n v="32"/>
    <n v="4.5"/>
    <x v="0"/>
  </r>
  <r>
    <s v="DIY File Folder, Office Drawer File Holder, Pen Holder, Desktop Storage Rack"/>
    <n v="1620"/>
    <x v="0"/>
    <n v="2690"/>
    <n v="1070"/>
    <n v="0.4"/>
    <x v="0"/>
    <n v="1"/>
    <n v="5"/>
    <x v="0"/>
  </r>
  <r>
    <s v="Classic Black Cat Cotton Hemp Pillow Case For Home Car"/>
    <n v="171"/>
    <x v="2"/>
    <n v="360"/>
    <n v="189"/>
    <n v="0.53"/>
    <x v="1"/>
    <n v="2"/>
    <n v="5"/>
    <x v="0"/>
  </r>
  <r>
    <s v="Punch-free Great Load Bearing Bathroom Storage Rack Wall Shelf-White"/>
    <n v="389"/>
    <x v="2"/>
    <n v="656"/>
    <n v="267"/>
    <n v="0.41"/>
    <x v="1"/>
    <n v="36"/>
    <n v="4.3"/>
    <x v="0"/>
  </r>
  <r>
    <s v="1/2/3 Seater Elastic Sofa Cover,Living Room/Home Decor Chair Cover-Grey"/>
    <n v="1800"/>
    <x v="1"/>
    <n v="2700"/>
    <n v="900"/>
    <n v="0.38"/>
    <x v="0"/>
    <n v="2"/>
    <n v="4.5"/>
    <x v="0"/>
  </r>
  <r>
    <s v="LASA Stainless Steel Double Wall Mount Soap Dispenser - 500ml"/>
    <n v="2750"/>
    <x v="1"/>
    <n v="4471"/>
    <n v="1721"/>
    <n v="0.38"/>
    <x v="0"/>
    <s v="Unknown"/>
    <s v="Unknown"/>
    <x v="2"/>
  </r>
  <r>
    <s v="4M Float Switch Water Level Controller -Water Tank"/>
    <n v="475"/>
    <x v="2"/>
    <n v="931"/>
    <n v="456"/>
    <n v="0.49"/>
    <x v="1"/>
    <s v="Unknown"/>
    <s v="Unknown"/>
    <x v="2"/>
  </r>
  <r>
    <s v="Modern Sofa Throw Pillow Cover-45x45cm-Blue&amp;Red"/>
    <n v="238"/>
    <x v="2"/>
    <n v="476"/>
    <n v="238"/>
    <n v="0.5"/>
    <x v="1"/>
    <s v="Unknown"/>
    <s v="Unknown"/>
    <x v="2"/>
  </r>
  <r>
    <s v="Balloon Insert, Birthday Party Balloon Set, PU Leather"/>
    <n v="610"/>
    <x v="0"/>
    <n v="1060"/>
    <n v="450"/>
    <n v="0.42"/>
    <x v="1"/>
    <s v="Unknown"/>
    <s v="Unknown"/>
    <x v="2"/>
  </r>
  <r>
    <s v="Shower Cap Wide Elastic Band Cover Reusable Bashroom Cap"/>
    <n v="2132"/>
    <x v="1"/>
    <n v="2169"/>
    <n v="37"/>
    <n v="0.02"/>
    <x v="2"/>
    <s v="Unknown"/>
    <s v="Unknown"/>
    <x v="2"/>
  </r>
  <r>
    <s v="Christmas Elk Fence Yard Lawn Decorations Cute For Holidays"/>
    <n v="999"/>
    <x v="0"/>
    <n v="2000"/>
    <n v="1001"/>
    <n v="0.5"/>
    <x v="1"/>
    <s v="Unknown"/>
    <s v="Unknown"/>
    <x v="2"/>
  </r>
  <r>
    <s v="60W Hot Melt Glue Sprayer - Efficient And Stable Glue Dispensing"/>
    <n v="1190"/>
    <x v="0"/>
    <n v="1785"/>
    <n v="595"/>
    <n v="0.33"/>
    <x v="0"/>
    <s v="Unknown"/>
    <s v="Unknown"/>
    <x v="2"/>
  </r>
  <r>
    <s v="Car Phone Charging Stand"/>
    <n v="671"/>
    <x v="0"/>
    <n v="1316"/>
    <n v="645"/>
    <n v="0.49"/>
    <x v="1"/>
    <s v="Unknown"/>
    <s v="Unknown"/>
    <x v="2"/>
  </r>
  <r>
    <s v="2pcs Solar Street Light Flood Light Outdoor"/>
    <n v="1200"/>
    <x v="0"/>
    <n v="1950"/>
    <n v="750"/>
    <n v="0.38"/>
    <x v="0"/>
    <s v="Unknown"/>
    <s v="Unknown"/>
    <x v="2"/>
  </r>
  <r>
    <s v="Creative Owl Shape Keychain Black"/>
    <n v="199"/>
    <x v="2"/>
    <n v="504"/>
    <n v="305"/>
    <n v="0.61"/>
    <x v="1"/>
    <s v="Unknown"/>
    <s v="Unknown"/>
    <x v="2"/>
  </r>
  <r>
    <s v="Brush &amp; Paintbrush Cleaning Tool Pink"/>
    <n v="299"/>
    <x v="2"/>
    <n v="600"/>
    <n v="301"/>
    <n v="0.5"/>
    <x v="1"/>
    <s v="Unknown"/>
    <s v="Unknown"/>
    <x v="2"/>
  </r>
  <r>
    <s v="Pen Grips For Kids Pen Grip Posture Correction Tool For Kids"/>
    <n v="1660"/>
    <x v="0"/>
    <n v="1699"/>
    <n v="39"/>
    <n v="0.02"/>
    <x v="2"/>
    <s v="Unknown"/>
    <s v="Unknown"/>
    <x v="2"/>
  </r>
  <r>
    <s v="Pilates Cloth Bag Waterproof Durable High Capacity Purple"/>
    <n v="299"/>
    <x v="2"/>
    <n v="384"/>
    <n v="85"/>
    <n v="0.22"/>
    <x v="0"/>
    <s v="Unknown"/>
    <s v="Unknown"/>
    <x v="2"/>
  </r>
  <r>
    <s v="Multi-purpose Rice Drainage Basket And Fruit And Vegetable Drainage Sieve"/>
    <n v="1459"/>
    <x v="0"/>
    <n v="1499"/>
    <n v="40"/>
    <n v="0.03"/>
    <x v="2"/>
    <s v="Unknown"/>
    <s v="Unknown"/>
    <x v="2"/>
  </r>
  <r>
    <s v="Cute Christmas Fence Garden Decorations For Holiday Home"/>
    <n v="799"/>
    <x v="0"/>
    <n v="1343"/>
    <n v="544"/>
    <n v="0.41"/>
    <x v="1"/>
    <s v="Unknown"/>
    <s v="Unknown"/>
    <x v="2"/>
  </r>
  <r>
    <s v="Simple Metal Dog Art Sculpture Decoration For Home Office"/>
    <n v="499"/>
    <x v="0"/>
    <n v="900"/>
    <n v="401"/>
    <n v="0.45"/>
    <x v="1"/>
    <s v="Unknown"/>
    <s v="Unknown"/>
    <x v="2"/>
  </r>
  <r>
    <s v="Christmas Fence Garden Decorations Outdoor For Holiday Home"/>
    <n v="699"/>
    <x v="0"/>
    <n v="1343"/>
    <n v="644"/>
    <n v="0.48"/>
    <x v="1"/>
    <s v="Unknown"/>
    <s v="Unknown"/>
    <x v="2"/>
  </r>
  <r>
    <s v="Angle Measuring Tool Full Metal Multi Angle Measuring Tool"/>
    <n v="799"/>
    <x v="0"/>
    <n v="1567"/>
    <n v="768"/>
    <n v="0.49"/>
    <x v="1"/>
    <s v="Unknown"/>
    <s v="Unknown"/>
    <x v="2"/>
  </r>
  <r>
    <s v="12V 19500rpm Handheld Electric Angle Grinder Tool - UK - Yellow/Black"/>
    <n v="2799"/>
    <x v="1"/>
    <n v="3810"/>
    <n v="1011"/>
    <n v="0.27"/>
    <x v="0"/>
    <s v="Unknown"/>
    <s v="Unknown"/>
    <x v="2"/>
  </r>
  <r>
    <s v="Simple Metal Dog Art Sculpture Decoration For Home Office"/>
    <n v="399"/>
    <x v="2"/>
    <n v="896"/>
    <n v="497"/>
    <n v="0.55000000000000004"/>
    <x v="1"/>
    <s v="Unknown"/>
    <s v="Unknown"/>
    <x v="2"/>
  </r>
  <r>
    <s v="5 Pieces/set Of Stainless Steel Induction Cooker Pots"/>
    <n v="2170"/>
    <x v="1"/>
    <n v="2500"/>
    <n v="330"/>
    <n v="0.13"/>
    <x v="2"/>
    <n v="6"/>
    <n v="2.5"/>
    <x v="3"/>
  </r>
  <r>
    <s v="Mythco 120COB Solar Wall Ligt With Motion Sensor And Remote Control 3 Modes"/>
    <n v="458"/>
    <x v="2"/>
    <n v="986"/>
    <n v="528"/>
    <n v="0.54"/>
    <x v="1"/>
    <n v="10"/>
    <n v="3"/>
    <x v="1"/>
  </r>
  <r>
    <s v="5-PCS Stainless Steel Cooking Pot Set With Steamed Slices"/>
    <n v="2115"/>
    <x v="1"/>
    <n v="4700"/>
    <n v="2585"/>
    <n v="0.55000000000000004"/>
    <x v="1"/>
    <n v="13"/>
    <n v="2.1"/>
    <x v="3"/>
  </r>
  <r>
    <s v="120W Cordless Vacuum Cleaners Handheld Electric Vacuum Cleaner"/>
    <n v="445"/>
    <x v="2"/>
    <n v="873"/>
    <n v="428"/>
    <n v="0.49"/>
    <x v="1"/>
    <n v="69"/>
    <n v="2.8"/>
    <x v="3"/>
  </r>
  <r>
    <s v="Intelligent LED Body Sensor Wireless Lighting Night Light USB"/>
    <n v="325"/>
    <x v="2"/>
    <n v="680"/>
    <n v="355"/>
    <n v="0.52"/>
    <x v="1"/>
    <n v="15"/>
    <n v="2.7"/>
    <x v="3"/>
  </r>
  <r>
    <s v="VIC Wireless Vacuum Cleaner Dual Use For Home And Car 120W High Power Powerful"/>
    <n v="1220"/>
    <x v="0"/>
    <n v="1555"/>
    <n v="335"/>
    <n v="0.22"/>
    <x v="0"/>
    <n v="16"/>
    <n v="2.9"/>
    <x v="3"/>
  </r>
  <r>
    <s v="Artificial Potted Flowers Room Decorative Flowers (2 Pieces)"/>
    <n v="990"/>
    <x v="0"/>
    <n v="1814"/>
    <n v="824"/>
    <n v="0.45"/>
    <x v="1"/>
    <n v="6"/>
    <n v="2.2000000000000002"/>
    <x v="3"/>
  </r>
  <r>
    <s v="380ML USB Rechargeable Portable Small Blenders And Juicers"/>
    <n v="1000"/>
    <x v="0"/>
    <n v="2000"/>
    <n v="1000"/>
    <n v="0.5"/>
    <x v="1"/>
    <n v="7"/>
    <n v="2.2999999999999998"/>
    <x v="3"/>
  </r>
  <r>
    <s v="32PCS Portable Cordless Drill Set With Cyclic Battery Drive -26 Variable Speed"/>
    <n v="3750"/>
    <x v="1"/>
    <n v="6143"/>
    <n v="2393"/>
    <n v="0.39"/>
    <x v="0"/>
    <n v="5"/>
    <n v="3"/>
    <x v="1"/>
  </r>
  <r>
    <s v="Agapeon Toothbrush Holder And Toothpaste Dispenser"/>
    <n v="382"/>
    <x v="2"/>
    <n v="700"/>
    <n v="318"/>
    <n v="0.45"/>
    <x v="1"/>
    <n v="17"/>
    <n v="2.6"/>
    <x v="3"/>
  </r>
  <r>
    <s v="Large Lazy Inflatable Sofa Chairs PVC Lounger Seat Bag"/>
    <n v="2300"/>
    <x v="1"/>
    <n v="3240"/>
    <n v="940"/>
    <n v="0.28999999999999998"/>
    <x v="0"/>
    <n v="5"/>
    <n v="3"/>
    <x v="1"/>
  </r>
  <r>
    <s v="Watercolour Gold Foil Textured Print Pillow Cover"/>
    <n v="345"/>
    <x v="2"/>
    <n v="602"/>
    <n v="257"/>
    <n v="0.43"/>
    <x v="1"/>
    <n v="6"/>
    <n v="2.2999999999999998"/>
    <x v="3"/>
  </r>
  <r>
    <s v="Wrought Iron Bathroom Shelf Wall Mounted Free Punch Toilet Rack"/>
    <n v="509"/>
    <x v="0"/>
    <n v="899"/>
    <n v="390"/>
    <n v="0.43"/>
    <x v="1"/>
    <n v="5"/>
    <n v="3"/>
    <x v="1"/>
  </r>
  <r>
    <s v="7-piece Set Of Storage Bags, Travel Storage Bags, Shoe Bags"/>
    <n v="968"/>
    <x v="0"/>
    <n v="1814"/>
    <n v="846"/>
    <n v="0.47"/>
    <x v="1"/>
    <n v="6"/>
    <n v="2.2000000000000002"/>
    <x v="3"/>
  </r>
  <r>
    <s v="Electric LED UV Mosquito Killer Lamp, Outdoor/Indoor Fly Killer Trap Light -USB"/>
    <n v="1570"/>
    <x v="0"/>
    <n v="2988"/>
    <n v="1418"/>
    <n v="0.47"/>
    <x v="1"/>
    <n v="7"/>
    <n v="2.1"/>
    <x v="3"/>
  </r>
  <r>
    <s v="2PCS/LOT Solar LED Outdoor Intelligent Light Controlled Wall Lamp"/>
    <n v="790"/>
    <x v="0"/>
    <n v="1485"/>
    <n v="695"/>
    <n v="0.47"/>
    <x v="1"/>
    <s v="Unknown"/>
    <s v="Unknown"/>
    <x v="2"/>
  </r>
  <r>
    <s v="3PCS Rotary Scraper Thermomix For Kitchen"/>
    <n v="690"/>
    <x v="0"/>
    <n v="1200"/>
    <n v="510"/>
    <n v="0.43"/>
    <x v="1"/>
    <s v="Unknown"/>
    <s v="Unknown"/>
    <x v="2"/>
  </r>
  <r>
    <s v="Cushion Silicone Butt Cushion Summer Ice Cushion Honeycomb Gel Cushion"/>
    <n v="1732"/>
    <x v="1"/>
    <n v="1799"/>
    <n v="67"/>
    <n v="0.04"/>
    <x v="2"/>
    <s v="Unknown"/>
    <s v="Unknown"/>
    <x v="2"/>
  </r>
  <r>
    <s v="7PCS Silicone Thumb Knife Finger Protector Vegetable Harvesting Knife"/>
    <n v="230"/>
    <x v="2"/>
    <n v="450"/>
    <n v="220"/>
    <n v="0.49"/>
    <x v="1"/>
    <s v="Unknown"/>
    <s v="Unknown"/>
    <x v="2"/>
  </r>
  <r>
    <s v="Memory Foam Neck Pillow Cover, With Pillow Core - 50*30cm"/>
    <n v="1189"/>
    <x v="0"/>
    <n v="2199"/>
    <n v="1010"/>
    <n v="0.46"/>
    <x v="1"/>
    <n v="1"/>
    <n v="3"/>
    <x v="1"/>
  </r>
  <r>
    <s v="Bedroom Simple Floor Hanging Clothes Rack Single Pole Hat Rack - White"/>
    <n v="979"/>
    <x v="0"/>
    <n v="1920"/>
    <n v="941"/>
    <n v="0.49"/>
    <x v="1"/>
    <n v="1"/>
    <n v="5"/>
    <x v="0"/>
  </r>
  <r>
    <s v="5m Waterproof Spherical LED String Lights Outdoor Ball Chain Lights Party Lighting Decoration Adjustable"/>
    <n v="1460"/>
    <x v="0"/>
    <n v="2290"/>
    <n v="830"/>
    <n v="0.36"/>
    <x v="0"/>
    <s v="Unknown"/>
    <s v="Unknown"/>
    <x v="2"/>
  </r>
  <r>
    <s v="2 Pairs Cowhide Split Leather Work Gloves.32â„‰ Or Above Welding Gloves"/>
    <n v="1666"/>
    <x v="0"/>
    <n v="1699"/>
    <n v="33"/>
    <n v="0.02"/>
    <x v="2"/>
    <s v="Unknown"/>
    <s v="Unknown"/>
    <x v="2"/>
  </r>
  <r>
    <s v="Household Pineapple Peeler Peeler"/>
    <n v="330"/>
    <x v="2"/>
    <n v="647"/>
    <n v="317"/>
    <n v="0.49"/>
    <x v="1"/>
    <n v="1"/>
    <n v="4"/>
    <x v="1"/>
  </r>
  <r>
    <s v="Creative Owl Shape Keychain Black"/>
    <n v="176"/>
    <x v="2"/>
    <n v="345"/>
    <n v="169"/>
    <n v="0.49"/>
    <x v="1"/>
    <s v="Unknown"/>
    <s v="Unknown"/>
    <x v="2"/>
  </r>
  <r>
    <s v="Office Chair Lumbar Back Support Spine Posture Correction Pillow Car Cushion"/>
    <n v="1466"/>
    <x v="0"/>
    <n v="1699"/>
    <n v="233"/>
    <n v="0.14000000000000001"/>
    <x v="2"/>
    <s v="Unknown"/>
    <s v="Unknown"/>
    <x v="2"/>
  </r>
  <r>
    <s v="Cartoon Car Decoration Cute Individuality For Car Home Desk"/>
    <n v="274"/>
    <x v="2"/>
    <n v="537"/>
    <n v="263"/>
    <n v="0.49"/>
    <x v="1"/>
    <s v="Unknown"/>
    <s v="Unknown"/>
    <x v="2"/>
  </r>
  <r>
    <s v="Outdoor Portable Water Bottle With Medicine Box - 600ML - Black"/>
    <n v="799"/>
    <x v="0"/>
    <n v="900"/>
    <n v="101"/>
    <n v="0.11"/>
    <x v="2"/>
    <s v="Unknown"/>
    <s v="Unknown"/>
    <x v="2"/>
  </r>
  <r>
    <s v="Angle Measuring Tool Full Metal Multi Angle Measuring Tool"/>
    <n v="657"/>
    <x v="0"/>
    <n v="1288"/>
    <n v="631"/>
    <n v="0.49"/>
    <x v="1"/>
    <s v="Unknown"/>
    <s v="Unknown"/>
    <x v="2"/>
  </r>
  <r>
    <s v="Wall-Mounted Toothbrush Toothpaste Holder With Multiple Slots"/>
    <n v="1468"/>
    <x v="0"/>
    <n v="1699"/>
    <n v="231"/>
    <n v="0.14000000000000001"/>
    <x v="2"/>
    <s v="Unknown"/>
    <s v="Unknown"/>
    <x v="2"/>
  </r>
  <r>
    <s v="Multifunctional Hanging Storage Box Storage Bag (4 Layers)"/>
    <n v="630"/>
    <x v="0"/>
    <n v="1100"/>
    <n v="470"/>
    <n v="0.43"/>
    <x v="1"/>
    <s v="Unknown"/>
    <s v="Unknown"/>
    <x v="2"/>
  </r>
  <r>
    <s v="Wall Clock With Hidden Safe Box"/>
    <n v="850"/>
    <x v="0"/>
    <n v="1700"/>
    <n v="850"/>
    <n v="0.5"/>
    <x v="1"/>
    <s v="Unknown"/>
    <s v="Unknown"/>
    <x v="2"/>
  </r>
  <r>
    <s v="Portable Wine Table With Folding Round Table"/>
    <n v="1300"/>
    <x v="0"/>
    <n v="2500"/>
    <n v="1200"/>
    <n v="0.48"/>
    <x v="1"/>
    <s v="Unknown"/>
    <s v="Unknown"/>
    <x v="2"/>
  </r>
  <r>
    <s v="Sewing Machine Needle Threader Stitch Insertion Tool Automatic Quick Sewing"/>
    <n v="105"/>
    <x v="2"/>
    <n v="200"/>
    <n v="95"/>
    <n v="0.48"/>
    <x v="1"/>
    <s v="Unknown"/>
    <s v="Unknown"/>
    <x v="2"/>
  </r>
  <r>
    <s v="6 Layers Steel Pipe Assembling Dustproof Storage Shoe Cabinet"/>
    <n v="899"/>
    <x v="0"/>
    <n v="1699"/>
    <n v="800"/>
    <n v="0.47"/>
    <x v="1"/>
    <s v="Unknown"/>
    <s v="Unknown"/>
    <x v="2"/>
  </r>
  <r>
    <s v="2PCS Ice Silk Square Cushion Cover Pillowcases - 65x65cm"/>
    <n v="1200"/>
    <x v="0"/>
    <n v="2400"/>
    <n v="1200"/>
    <n v="0.5"/>
    <x v="1"/>
    <s v="Unknown"/>
    <s v="Unknown"/>
    <x v="2"/>
  </r>
  <r>
    <s v="Wall Mount Automatic Toothpaste Dispenser Toothbrush Holder Toothpaste Squeezer"/>
    <n v="1526"/>
    <x v="0"/>
    <n v="1660"/>
    <n v="134"/>
    <n v="0.08"/>
    <x v="2"/>
    <s v="Unknown"/>
    <s v="Unknown"/>
    <x v="2"/>
  </r>
  <r>
    <s v="Portable Soap Dispenser Kitchen Detergent Press Box Kitchen Tools"/>
    <n v="1462"/>
    <x v="0"/>
    <n v="1499"/>
    <n v="37"/>
    <n v="0.02"/>
    <x v="2"/>
    <s v="Unknown"/>
    <s v="Unknown"/>
    <x v="2"/>
  </r>
  <r>
    <s v="4 Piece Coloured Stainless Steel Kitchenware Set"/>
    <n v="248"/>
    <x v="2"/>
    <n v="486"/>
    <n v="238"/>
    <n v="0.49"/>
    <x v="1"/>
    <s v="Unknown"/>
    <s v="Unknown"/>
    <x v="2"/>
  </r>
  <r>
    <s v="Metal Wall Clock Silver Dial Crystal Jewelry Round Home Decoration Wall Clock"/>
    <n v="3546"/>
    <x v="1"/>
    <n v="3699"/>
    <n v="153"/>
    <n v="0.04"/>
    <x v="2"/>
    <s v="Unknown"/>
    <s v="Unknown"/>
    <x v="2"/>
  </r>
  <r>
    <s v="Baby Early Education Shape And Color Cognitive Training Toys"/>
    <n v="525"/>
    <x v="0"/>
    <n v="1029"/>
    <n v="504"/>
    <n v="0.49"/>
    <x v="1"/>
    <s v="Unknown"/>
    <s v="Unknown"/>
    <x v="2"/>
  </r>
  <r>
    <s v="8in1 Screwdriver With LED Light"/>
    <n v="1080"/>
    <x v="0"/>
    <n v="1874"/>
    <n v="794"/>
    <n v="0.42"/>
    <x v="1"/>
    <s v="Unknown"/>
    <s v="Unknown"/>
    <x v="2"/>
  </r>
  <r>
    <s v="Konka Healty Electric Kettle, 24-hour Heat Preservation,1.5L,800W, White"/>
    <n v="3640"/>
    <x v="1"/>
    <n v="4588"/>
    <n v="948"/>
    <n v="0.21"/>
    <x v="0"/>
    <n v="1"/>
    <n v="5"/>
    <x v="0"/>
  </r>
  <r>
    <s v="9pcs Gas Mask, For Painting, Dust, Formaldehyde Grinding, Polishing"/>
    <n v="1420"/>
    <x v="0"/>
    <n v="2420"/>
    <n v="1000"/>
    <n v="0.41"/>
    <x v="1"/>
    <s v="Unknown"/>
    <s v="Unknown"/>
    <x v="2"/>
  </r>
  <r>
    <s v="24 Grid Wall-mounted Sundries Organiser Fabric Closet Bag Storage Rack"/>
    <n v="1875"/>
    <x v="1"/>
    <n v="1899"/>
    <n v="24"/>
    <n v="0.01"/>
    <x v="2"/>
    <s v="Unknown"/>
    <s v="Unknown"/>
    <x v="2"/>
  </r>
  <r>
    <s v="1PC Refrigerator Food Seal Pocket Fridge Bags"/>
    <n v="198"/>
    <x v="2"/>
    <n v="260"/>
    <n v="62"/>
    <n v="0.24"/>
    <x v="0"/>
    <s v="Unknown"/>
    <s v="Unknown"/>
    <x v="2"/>
  </r>
  <r>
    <s v="LED Solar Street Light-fake Camera"/>
    <n v="1150"/>
    <x v="0"/>
    <n v="1737"/>
    <n v="587"/>
    <n v="0.34"/>
    <x v="0"/>
    <s v="Unknown"/>
    <s v="Unknown"/>
    <x v="2"/>
  </r>
  <r>
    <s v="Cartoon Embroidered Mini Towel Bear Cotton Wash Cloth Hand 4pcs"/>
    <n v="1190"/>
    <x v="0"/>
    <n v="1810"/>
    <n v="620"/>
    <n v="0.34"/>
    <x v="0"/>
    <s v="Unknown"/>
    <s v="Unknown"/>
    <x v="2"/>
  </r>
  <r>
    <s v="Shower Nozzle Cleaning Unclogging Needle Mini Crevice Small Hole Cleaning Brush"/>
    <n v="1658"/>
    <x v="0"/>
    <n v="1699"/>
    <n v="41"/>
    <n v="0.02"/>
    <x v="2"/>
    <s v="Unknown"/>
    <s v="Unknown"/>
    <x v="2"/>
  </r>
  <r>
    <s v="Thickening Multipurpose Non Stick Easy To Clean Heat Resistant Spoon Pad"/>
    <n v="1768"/>
    <x v="1"/>
    <n v="1799"/>
    <n v="31"/>
    <n v="0.02"/>
    <x v="2"/>
    <s v="Unknown"/>
    <s v="Unknown"/>
    <x v="2"/>
  </r>
  <r>
    <s v="6 In 1 Bottle Can Opener Multifunctional Easy Opener"/>
    <n v="199"/>
    <x v="2"/>
    <n v="553"/>
    <n v="354"/>
    <n v="0.64"/>
    <x v="1"/>
    <s v="Unknown"/>
    <s v="Unknown"/>
    <x v="2"/>
  </r>
  <r>
    <s v="Wall-mounted Sticker Punch-free Plug Fixer"/>
    <n v="450"/>
    <x v="2"/>
    <n v="900"/>
    <n v="450"/>
    <n v="0.5"/>
    <x v="1"/>
    <n v="1"/>
    <n v="2"/>
    <x v="3"/>
  </r>
  <r>
    <s v="Black Simple Water Cup Wine Coaster Anti Slip Absorbent"/>
    <n v="169"/>
    <x v="2"/>
    <n v="320"/>
    <n v="151"/>
    <n v="0.47"/>
    <x v="1"/>
    <s v="Unknown"/>
    <s v="Unknown"/>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45EF19-7F16-46F7-9E7D-EA470F01E4A7}" name="PivotTable10"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C62" firstHeaderRow="1" firstDataRow="1" firstDataCol="0"/>
  <pivotFields count="10">
    <pivotField showAll="0"/>
    <pivotField numFmtId="164" showAll="0"/>
    <pivotField showAll="0">
      <items count="4">
        <item x="1"/>
        <item x="2"/>
        <item x="0"/>
        <item t="default"/>
      </items>
    </pivotField>
    <pivotField numFmtId="164" showAll="0"/>
    <pivotField numFmtId="164" showAll="0"/>
    <pivotField numFmtId="9" showAll="0"/>
    <pivotField showAll="0">
      <items count="4">
        <item x="1"/>
        <item x="2"/>
        <item x="0"/>
        <item t="default"/>
      </items>
    </pivotField>
    <pivotField showAll="0"/>
    <pivotField showAll="0"/>
    <pivotField showAll="0">
      <items count="5">
        <item x="1"/>
        <item x="0"/>
        <item x="3"/>
        <item x="2"/>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E16D77-A6CA-4F17-9FE7-D90213904582}" name="PivotTable9"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23:B27" firstHeaderRow="1" firstDataRow="1" firstDataCol="1"/>
  <pivotFields count="10">
    <pivotField dataField="1" showAll="0"/>
    <pivotField numFmtId="164" showAll="0"/>
    <pivotField showAll="0">
      <items count="4">
        <item x="1"/>
        <item x="2"/>
        <item x="0"/>
        <item t="default"/>
      </items>
    </pivotField>
    <pivotField numFmtId="164" showAll="0"/>
    <pivotField numFmtId="164" showAll="0"/>
    <pivotField numFmtId="9" showAll="0"/>
    <pivotField axis="axisRow" showAll="0">
      <items count="4">
        <item x="1"/>
        <item x="2"/>
        <item x="0"/>
        <item t="default"/>
      </items>
    </pivotField>
    <pivotField showAll="0"/>
    <pivotField showAll="0"/>
    <pivotField showAll="0">
      <items count="5">
        <item x="1"/>
        <item x="0"/>
        <item x="3"/>
        <item x="2"/>
        <item t="default"/>
      </items>
    </pivotField>
  </pivotFields>
  <rowFields count="1">
    <field x="6"/>
  </rowFields>
  <rowItems count="4">
    <i>
      <x/>
    </i>
    <i>
      <x v="1"/>
    </i>
    <i>
      <x v="2"/>
    </i>
    <i t="grand">
      <x/>
    </i>
  </rowItems>
  <colItems count="1">
    <i/>
  </colItems>
  <dataFields count="1">
    <dataField name="Count of Product" fld="0" subtotal="count" baseField="6" baseItem="0"/>
  </dataFields>
  <chartFormats count="2">
    <chartFormat chart="15"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DED98E-472C-409C-8ADB-CC14041E566A}"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B8" firstHeaderRow="1" firstDataRow="1" firstDataCol="1"/>
  <pivotFields count="10">
    <pivotField dataField="1" showAll="0"/>
    <pivotField numFmtId="164" showAll="0"/>
    <pivotField showAll="0">
      <items count="4">
        <item x="1"/>
        <item x="2"/>
        <item x="0"/>
        <item t="default"/>
      </items>
    </pivotField>
    <pivotField numFmtId="164" showAll="0"/>
    <pivotField numFmtId="164" showAll="0"/>
    <pivotField numFmtId="9" showAll="0"/>
    <pivotField showAll="0">
      <items count="4">
        <item x="1"/>
        <item x="2"/>
        <item x="0"/>
        <item t="default"/>
      </items>
    </pivotField>
    <pivotField showAll="0"/>
    <pivotField showAll="0"/>
    <pivotField axis="axisRow" showAll="0">
      <items count="5">
        <item x="1"/>
        <item x="0"/>
        <item x="3"/>
        <item x="2"/>
        <item t="default"/>
      </items>
    </pivotField>
  </pivotFields>
  <rowFields count="1">
    <field x="9"/>
  </rowFields>
  <rowItems count="5">
    <i>
      <x/>
    </i>
    <i>
      <x v="1"/>
    </i>
    <i>
      <x v="2"/>
    </i>
    <i>
      <x v="3"/>
    </i>
    <i t="grand">
      <x/>
    </i>
  </rowItems>
  <colItems count="1">
    <i/>
  </colItems>
  <dataFields count="1">
    <dataField name="Count of Product" fld="0" subtotal="count" baseField="9" baseItem="0"/>
  </dataFields>
  <chartFormats count="6">
    <chartFormat chart="34" format="0" series="1">
      <pivotArea type="data" outline="0" fieldPosition="0">
        <references count="1">
          <reference field="4294967294" count="1" selected="0">
            <x v="0"/>
          </reference>
        </references>
      </pivotArea>
    </chartFormat>
    <chartFormat chart="42" format="6" series="1">
      <pivotArea type="data" outline="0" fieldPosition="0">
        <references count="1">
          <reference field="4294967294" count="1" selected="0">
            <x v="0"/>
          </reference>
        </references>
      </pivotArea>
    </chartFormat>
    <chartFormat chart="42" format="7">
      <pivotArea type="data" outline="0" fieldPosition="0">
        <references count="2">
          <reference field="4294967294" count="1" selected="0">
            <x v="0"/>
          </reference>
          <reference field="9" count="1" selected="0">
            <x v="0"/>
          </reference>
        </references>
      </pivotArea>
    </chartFormat>
    <chartFormat chart="42" format="8">
      <pivotArea type="data" outline="0" fieldPosition="0">
        <references count="2">
          <reference field="4294967294" count="1" selected="0">
            <x v="0"/>
          </reference>
          <reference field="9" count="1" selected="0">
            <x v="1"/>
          </reference>
        </references>
      </pivotArea>
    </chartFormat>
    <chartFormat chart="42" format="9">
      <pivotArea type="data" outline="0" fieldPosition="0">
        <references count="2">
          <reference field="4294967294" count="1" selected="0">
            <x v="0"/>
          </reference>
          <reference field="9" count="1" selected="0">
            <x v="2"/>
          </reference>
        </references>
      </pivotArea>
    </chartFormat>
    <chartFormat chart="42"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2B9F67-7DEF-40B8-8FAB-55303B8E3E21}"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B56"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showAll="0"/>
    <pivotField numFmtId="164" showAll="0"/>
    <pivotField numFmtId="164" showAll="0"/>
    <pivotField dataField="1" numFmtId="9" showAll="0"/>
    <pivotField showAll="0"/>
    <pivotField showAll="0"/>
    <pivotField showAll="0"/>
    <pivotField showAll="0"/>
    <pivotField showAll="0"/>
  </pivotFields>
  <rowFields count="1">
    <field x="0"/>
  </rowFields>
  <rowItems count="11">
    <i>
      <x v="20"/>
    </i>
    <i>
      <x v="30"/>
    </i>
    <i>
      <x v="31"/>
    </i>
    <i>
      <x v="52"/>
    </i>
    <i>
      <x v="53"/>
    </i>
    <i>
      <x v="60"/>
    </i>
    <i>
      <x v="64"/>
    </i>
    <i>
      <x v="67"/>
    </i>
    <i>
      <x v="70"/>
    </i>
    <i>
      <x v="84"/>
    </i>
    <i t="grand">
      <x/>
    </i>
  </rowItems>
  <colItems count="1">
    <i/>
  </colItems>
  <dataFields count="1">
    <dataField name="Average of Discount" fld="5" subtotal="average" baseField="0" baseItem="20" numFmtId="9"/>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4EBA6A-241F-4956-B599-782CA800A2D6}" name="PivotTable3"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35"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showAll="0"/>
    <pivotField numFmtId="164" showAll="0"/>
    <pivotField numFmtId="164" showAll="0"/>
    <pivotField numFmtId="9" showAll="0"/>
    <pivotField showAll="0"/>
    <pivotField dataField="1" showAll="0"/>
    <pivotField showAll="0"/>
    <pivotField showAll="0"/>
    <pivotField showAll="0"/>
  </pivotFields>
  <rowFields count="1">
    <field x="0"/>
  </rowFields>
  <rowItems count="11">
    <i>
      <x v="1"/>
    </i>
    <i>
      <x v="5"/>
    </i>
    <i>
      <x v="8"/>
    </i>
    <i>
      <x v="18"/>
    </i>
    <i>
      <x v="26"/>
    </i>
    <i>
      <x v="27"/>
    </i>
    <i>
      <x v="28"/>
    </i>
    <i>
      <x v="59"/>
    </i>
    <i>
      <x v="91"/>
    </i>
    <i>
      <x v="95"/>
    </i>
    <i t="grand">
      <x/>
    </i>
  </rowItems>
  <colItems count="1">
    <i/>
  </colItems>
  <dataFields count="1">
    <dataField name="Sum of Review" fld="7" baseField="0" baseItem="1"/>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071CCB-14B6-42F0-8748-5742A5998F92}"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4" firstHeaderRow="1" firstDataRow="1" firstDataCol="1"/>
  <pivotFields count="11">
    <pivotField axis="axisRow" showAll="0" measureFilter="1">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64" showAll="0"/>
    <pivotField showAll="0"/>
    <pivotField numFmtId="164" showAll="0"/>
    <pivotField numFmtId="164" showAll="0"/>
    <pivotField numFmtId="9" showAll="0"/>
    <pivotField showAll="0"/>
    <pivotField showAll="0"/>
    <pivotField dataField="1" showAll="0"/>
    <pivotField showAll="0"/>
    <pivotField showAll="0"/>
  </pivotFields>
  <rowFields count="1">
    <field x="0"/>
  </rowFields>
  <rowItems count="11">
    <i>
      <x v="22"/>
    </i>
    <i>
      <x v="40"/>
    </i>
    <i>
      <x v="44"/>
    </i>
    <i>
      <x v="52"/>
    </i>
    <i>
      <x v="57"/>
    </i>
    <i>
      <x v="65"/>
    </i>
    <i>
      <x v="68"/>
    </i>
    <i>
      <x v="70"/>
    </i>
    <i>
      <x v="87"/>
    </i>
    <i>
      <x v="90"/>
    </i>
    <i t="grand">
      <x/>
    </i>
  </rowItems>
  <colItems count="1">
    <i/>
  </colItems>
  <dataFields count="1">
    <dataField name="Average of Rating" fld="8" subtotal="average"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2D49DC57-8368-4FBB-98D1-D36F5F91730F}" sourceName="Rating Category">
  <pivotTables>
    <pivotTable tabId="15" name="PivotTable8"/>
    <pivotTable tabId="15" name="PivotTable10"/>
    <pivotTable tabId="15" name="PivotTable9"/>
  </pivotTables>
  <data>
    <tabular pivotCacheId="579237438">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05BFAFFC-B085-4A0F-A94C-D93625B63D57}" sourceName="Discount Category">
  <pivotTables>
    <pivotTable tabId="15" name="PivotTable9"/>
    <pivotTable tabId="15" name="PivotTable10"/>
    <pivotTable tabId="15" name="PivotTable8"/>
  </pivotTables>
  <data>
    <tabular pivotCacheId="579237438">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E45D4A93-DF78-403C-8EE1-A9D9792873E3}" sourceName="Price Category">
  <pivotTables>
    <pivotTable tabId="15" name="PivotTable10"/>
    <pivotTable tabId="15" name="PivotTable8"/>
    <pivotTable tabId="15" name="PivotTable9"/>
  </pivotTables>
  <data>
    <tabular pivotCacheId="579237438">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932CB187-432E-4555-8D4B-DF997A4F8103}" cache="Slicer_Rating_Category" caption="Rating Category" rowHeight="241300"/>
  <slicer name="Discount Category" xr10:uid="{B0DBBD0B-D4F3-49E8-BCFD-C44C50E39137}" cache="Slicer_Discount_Category" caption="Discount Category" rowHeight="241300"/>
  <slicer name="Price Category" xr10:uid="{83EF9B59-8B1B-4470-9F2C-BAF4C1FE5219}" cache="Slicer_Price_Category" caption="Price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C2B3B3F2-7511-4E55-8062-BDA33DA18482}" cache="Slicer_Rating_Category" caption="Rating Category" rowHeight="241300"/>
  <slicer name="Discount Category 1" xr10:uid="{ECEF4E43-EABD-4B9C-A853-33DE36A5908B}" cache="Slicer_Discount_Category" caption="Discount Category" rowHeight="241300"/>
  <slicer name="Price Category 1" xr10:uid="{3FAC79D2-344F-4807-915D-FE603AB51B9B}" cache="Slicer_Price_Category" caption="Price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7DA69-5827-4383-ABF7-AD4017871CA7}">
  <dimension ref="A1:F116"/>
  <sheetViews>
    <sheetView workbookViewId="0">
      <selection activeCell="A5" sqref="A1:F116"/>
    </sheetView>
  </sheetViews>
  <sheetFormatPr defaultRowHeight="15" x14ac:dyDescent="0.25"/>
  <cols>
    <col min="1" max="1" width="95.7109375" bestFit="1" customWidth="1"/>
    <col min="2" max="3" width="19.42578125" bestFit="1" customWidth="1"/>
    <col min="4" max="4" width="8.7109375" bestFit="1" customWidth="1"/>
    <col min="5" max="5" width="7.5703125" bestFit="1" customWidth="1"/>
    <col min="6" max="6" width="10.7109375" bestFit="1" customWidth="1"/>
  </cols>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FD27-5FA1-4535-B32A-712A07DCBDE1}">
  <dimension ref="A3:C62"/>
  <sheetViews>
    <sheetView workbookViewId="0">
      <selection activeCell="K16" sqref="K16"/>
    </sheetView>
  </sheetViews>
  <sheetFormatPr defaultRowHeight="15" x14ac:dyDescent="0.25"/>
  <cols>
    <col min="1" max="1" width="16.7109375" bestFit="1" customWidth="1"/>
    <col min="2" max="2" width="16" bestFit="1" customWidth="1"/>
  </cols>
  <sheetData>
    <row r="3" spans="1:2" x14ac:dyDescent="0.25">
      <c r="A3" s="16" t="s">
        <v>345</v>
      </c>
      <c r="B3" t="s">
        <v>355</v>
      </c>
    </row>
    <row r="4" spans="1:2" x14ac:dyDescent="0.25">
      <c r="A4" s="17" t="s">
        <v>342</v>
      </c>
      <c r="B4" s="6">
        <v>13</v>
      </c>
    </row>
    <row r="5" spans="1:2" x14ac:dyDescent="0.25">
      <c r="A5" s="17" t="s">
        <v>338</v>
      </c>
      <c r="B5" s="6">
        <v>32</v>
      </c>
    </row>
    <row r="6" spans="1:2" x14ac:dyDescent="0.25">
      <c r="A6" s="17" t="s">
        <v>344</v>
      </c>
      <c r="B6" s="6">
        <v>12</v>
      </c>
    </row>
    <row r="7" spans="1:2" x14ac:dyDescent="0.25">
      <c r="A7" s="17" t="s">
        <v>324</v>
      </c>
      <c r="B7" s="6">
        <v>55</v>
      </c>
    </row>
    <row r="8" spans="1:2" x14ac:dyDescent="0.25">
      <c r="A8" s="17" t="s">
        <v>346</v>
      </c>
      <c r="B8" s="6">
        <v>112</v>
      </c>
    </row>
    <row r="23" spans="1:2" x14ac:dyDescent="0.25">
      <c r="A23" s="16" t="s">
        <v>345</v>
      </c>
      <c r="B23" t="s">
        <v>355</v>
      </c>
    </row>
    <row r="24" spans="1:2" x14ac:dyDescent="0.25">
      <c r="A24" s="17" t="s">
        <v>339</v>
      </c>
      <c r="B24" s="6">
        <v>62</v>
      </c>
    </row>
    <row r="25" spans="1:2" x14ac:dyDescent="0.25">
      <c r="A25" s="17" t="s">
        <v>341</v>
      </c>
      <c r="B25" s="6">
        <v>18</v>
      </c>
    </row>
    <row r="26" spans="1:2" x14ac:dyDescent="0.25">
      <c r="A26" s="17" t="s">
        <v>337</v>
      </c>
      <c r="B26" s="6">
        <v>32</v>
      </c>
    </row>
    <row r="27" spans="1:2" x14ac:dyDescent="0.25">
      <c r="A27" s="17" t="s">
        <v>346</v>
      </c>
      <c r="B27" s="6">
        <v>112</v>
      </c>
    </row>
    <row r="45" spans="1:3" x14ac:dyDescent="0.25">
      <c r="A45" s="7"/>
      <c r="B45" s="8"/>
      <c r="C45" s="9"/>
    </row>
    <row r="46" spans="1:3" x14ac:dyDescent="0.25">
      <c r="A46" s="10"/>
      <c r="B46" s="11"/>
      <c r="C46" s="12"/>
    </row>
    <row r="47" spans="1:3" x14ac:dyDescent="0.25">
      <c r="A47" s="10"/>
      <c r="B47" s="11"/>
      <c r="C47" s="12"/>
    </row>
    <row r="48" spans="1:3" x14ac:dyDescent="0.25">
      <c r="A48" s="10"/>
      <c r="B48" s="11"/>
      <c r="C48" s="12"/>
    </row>
    <row r="49" spans="1:3" x14ac:dyDescent="0.25">
      <c r="A49" s="10"/>
      <c r="B49" s="11"/>
      <c r="C49" s="12"/>
    </row>
    <row r="50" spans="1:3" x14ac:dyDescent="0.25">
      <c r="A50" s="10"/>
      <c r="B50" s="11"/>
      <c r="C50" s="12"/>
    </row>
    <row r="51" spans="1:3" x14ac:dyDescent="0.25">
      <c r="A51" s="10"/>
      <c r="B51" s="11"/>
      <c r="C51" s="12"/>
    </row>
    <row r="52" spans="1:3" x14ac:dyDescent="0.25">
      <c r="A52" s="10"/>
      <c r="B52" s="11"/>
      <c r="C52" s="12"/>
    </row>
    <row r="53" spans="1:3" x14ac:dyDescent="0.25">
      <c r="A53" s="10"/>
      <c r="B53" s="11"/>
      <c r="C53" s="12"/>
    </row>
    <row r="54" spans="1:3" x14ac:dyDescent="0.25">
      <c r="A54" s="10"/>
      <c r="B54" s="11"/>
      <c r="C54" s="12"/>
    </row>
    <row r="55" spans="1:3" x14ac:dyDescent="0.25">
      <c r="A55" s="10"/>
      <c r="B55" s="11"/>
      <c r="C55" s="12"/>
    </row>
    <row r="56" spans="1:3" x14ac:dyDescent="0.25">
      <c r="A56" s="10"/>
      <c r="B56" s="11"/>
      <c r="C56" s="12"/>
    </row>
    <row r="57" spans="1:3" x14ac:dyDescent="0.25">
      <c r="A57" s="10"/>
      <c r="B57" s="11"/>
      <c r="C57" s="12"/>
    </row>
    <row r="58" spans="1:3" x14ac:dyDescent="0.25">
      <c r="A58" s="10"/>
      <c r="B58" s="11"/>
      <c r="C58" s="12"/>
    </row>
    <row r="59" spans="1:3" x14ac:dyDescent="0.25">
      <c r="A59" s="10"/>
      <c r="B59" s="11"/>
      <c r="C59" s="12"/>
    </row>
    <row r="60" spans="1:3" x14ac:dyDescent="0.25">
      <c r="A60" s="10"/>
      <c r="B60" s="11"/>
      <c r="C60" s="12"/>
    </row>
    <row r="61" spans="1:3" x14ac:dyDescent="0.25">
      <c r="A61" s="10"/>
      <c r="B61" s="11"/>
      <c r="C61" s="12"/>
    </row>
    <row r="62" spans="1:3" x14ac:dyDescent="0.25">
      <c r="A62" s="13"/>
      <c r="B62" s="14"/>
      <c r="C62" s="1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7A91E-8D46-406A-BE5F-44E4F20A1D74}">
  <dimension ref="A1:J113"/>
  <sheetViews>
    <sheetView zoomScale="78" zoomScaleNormal="78" workbookViewId="0">
      <pane ySplit="1" topLeftCell="A67" activePane="bottomLeft" state="frozen"/>
      <selection pane="bottomLeft" activeCell="A93" sqref="A93"/>
    </sheetView>
  </sheetViews>
  <sheetFormatPr defaultRowHeight="15" x14ac:dyDescent="0.25"/>
  <cols>
    <col min="1" max="1" width="95.7109375" customWidth="1"/>
    <col min="2" max="2" width="19.42578125" style="3" bestFit="1" customWidth="1"/>
    <col min="3" max="3" width="19.42578125" style="3" customWidth="1"/>
    <col min="4" max="4" width="19.42578125" style="3" bestFit="1" customWidth="1"/>
    <col min="5" max="5" width="19.42578125" style="3" customWidth="1"/>
    <col min="6" max="6" width="11" style="1" bestFit="1" customWidth="1"/>
    <col min="7" max="7" width="19.5703125" style="1" bestFit="1" customWidth="1"/>
    <col min="8" max="8" width="9.85546875" style="4" customWidth="1"/>
    <col min="9" max="9" width="10.7109375" style="5" customWidth="1"/>
    <col min="10" max="10" width="15" bestFit="1" customWidth="1"/>
  </cols>
  <sheetData>
    <row r="1" spans="1:10" s="2" customFormat="1" x14ac:dyDescent="0.25">
      <c r="A1" s="2" t="s">
        <v>0</v>
      </c>
      <c r="B1" s="3" t="s">
        <v>1</v>
      </c>
      <c r="C1" s="3" t="s">
        <v>335</v>
      </c>
      <c r="D1" s="3" t="s">
        <v>331</v>
      </c>
      <c r="E1" s="3" t="s">
        <v>332</v>
      </c>
      <c r="F1" s="1" t="s">
        <v>3</v>
      </c>
      <c r="G1" s="1" t="s">
        <v>334</v>
      </c>
      <c r="H1" s="4" t="s">
        <v>4</v>
      </c>
      <c r="I1" s="5" t="s">
        <v>323</v>
      </c>
      <c r="J1" s="2" t="s">
        <v>333</v>
      </c>
    </row>
    <row r="2" spans="1:10" x14ac:dyDescent="0.25">
      <c r="A2" t="s">
        <v>325</v>
      </c>
      <c r="B2" s="3">
        <v>950</v>
      </c>
      <c r="C2" s="3" t="str">
        <f>IF(B2&lt;=Price_Q1,"Low Price",IF(B2&lt;=Price_Q3,"Medium Price","High Price"))</f>
        <v>Medium Price</v>
      </c>
      <c r="D2" s="3">
        <v>1525</v>
      </c>
      <c r="E2" s="3">
        <f>(D2-B2)</f>
        <v>575</v>
      </c>
      <c r="F2" s="1">
        <v>0.38</v>
      </c>
      <c r="G2" s="1" t="str">
        <f>IF(F2&lt;20%,"Low Discount",IF(F2&lt;=40%,"Medium Discount", "High Discount"))</f>
        <v>Medium Discount</v>
      </c>
      <c r="H2" s="4">
        <v>2</v>
      </c>
      <c r="I2" s="5">
        <v>4.5</v>
      </c>
      <c r="J2" t="str">
        <f>IF(OR(H2="",I2=""),"",IF(I2&lt;3,"Poor",IF(I2&lt;=4,"Average","Excellent")))</f>
        <v>Excellent</v>
      </c>
    </row>
    <row r="3" spans="1:10" x14ac:dyDescent="0.25">
      <c r="A3" t="s">
        <v>10</v>
      </c>
      <c r="B3" s="3">
        <v>527</v>
      </c>
      <c r="C3" s="3" t="str">
        <f>IF(B3&lt;=Price_Q1,"Low Price",IF(B3&lt;=Price_Q3,"Medium Price","High Price"))</f>
        <v>Medium Price</v>
      </c>
      <c r="D3" s="3">
        <v>999</v>
      </c>
      <c r="E3" s="3">
        <f t="shared" ref="E3:E66" si="0">(D3-B3)</f>
        <v>472</v>
      </c>
      <c r="F3" s="1">
        <v>0.47</v>
      </c>
      <c r="G3" s="1" t="str">
        <f t="shared" ref="G3:G66" si="1">IF(F3&lt;20%,"Low Discount",IF(F3&lt;=40%,"Medium Discount", "High Discount"))</f>
        <v>High Discount</v>
      </c>
      <c r="H3" s="4">
        <v>14</v>
      </c>
      <c r="I3" s="5">
        <v>4.0999999999999996</v>
      </c>
      <c r="J3" t="str">
        <f>IF(OR(H3="",I3=""),"",IF(I3&lt;3,"Poor",IF(I3&lt;=4,"Average","Excellent")))</f>
        <v>Excellent</v>
      </c>
    </row>
    <row r="4" spans="1:10" x14ac:dyDescent="0.25">
      <c r="A4" t="s">
        <v>14</v>
      </c>
      <c r="B4" s="3">
        <v>2199</v>
      </c>
      <c r="C4" s="3" t="str">
        <f>IF(B4&lt;=Price_Q1,"Low Price",IF(B4&lt;=Price_Q3,"Medium Price","High Price"))</f>
        <v>High Price</v>
      </c>
      <c r="D4" s="3">
        <v>2923</v>
      </c>
      <c r="E4" s="3">
        <f t="shared" si="0"/>
        <v>724</v>
      </c>
      <c r="F4" s="1">
        <v>0.25</v>
      </c>
      <c r="G4" s="1" t="str">
        <f t="shared" si="1"/>
        <v>Medium Discount</v>
      </c>
      <c r="H4" s="4">
        <v>24</v>
      </c>
      <c r="I4" s="5">
        <v>4.5999999999999996</v>
      </c>
      <c r="J4" t="str">
        <f>IF(OR(H4="",I4=""),"",IF(I4&lt;3,"Poor",IF(I4&lt;=4,"Average","Excellent")))</f>
        <v>Excellent</v>
      </c>
    </row>
    <row r="5" spans="1:10" x14ac:dyDescent="0.25">
      <c r="A5" t="s">
        <v>18</v>
      </c>
      <c r="B5" s="3">
        <v>1580</v>
      </c>
      <c r="C5" s="3" t="str">
        <f>IF(B5&lt;=Price_Q1,"Low Price",IF(B5&lt;=Price_Q3,"Medium Price","High Price"))</f>
        <v>Medium Price</v>
      </c>
      <c r="D5" s="3">
        <v>2499</v>
      </c>
      <c r="E5" s="3">
        <f t="shared" si="0"/>
        <v>919</v>
      </c>
      <c r="F5" s="1">
        <v>0.37</v>
      </c>
      <c r="G5" s="1" t="str">
        <f t="shared" si="1"/>
        <v>Medium Discount</v>
      </c>
      <c r="H5" s="4">
        <v>7</v>
      </c>
      <c r="I5" s="5">
        <v>4.7</v>
      </c>
      <c r="J5" t="str">
        <f>IF(OR(H5="",I5=""),"",IF(I5&lt;3,"Poor",IF(I5&lt;=4,"Average","Excellent")))</f>
        <v>Excellent</v>
      </c>
    </row>
    <row r="6" spans="1:10" x14ac:dyDescent="0.25">
      <c r="A6" t="s">
        <v>22</v>
      </c>
      <c r="B6" s="3">
        <v>1740</v>
      </c>
      <c r="C6" s="3" t="str">
        <f>IF(B6&lt;=Price_Q1,"Low Price",IF(B6&lt;=Price_Q3,"Medium Price","High Price"))</f>
        <v>High Price</v>
      </c>
      <c r="D6" s="3">
        <v>2356</v>
      </c>
      <c r="E6" s="3">
        <f t="shared" si="0"/>
        <v>616</v>
      </c>
      <c r="F6" s="1">
        <v>0.26</v>
      </c>
      <c r="G6" s="1" t="str">
        <f t="shared" si="1"/>
        <v>Medium Discount</v>
      </c>
      <c r="H6" s="4">
        <v>5</v>
      </c>
      <c r="I6" s="5">
        <v>4.8</v>
      </c>
      <c r="J6" t="str">
        <f>IF(OR(H6="",I6=""),"",IF(I6&lt;3,"Poor",IF(I6&lt;=4,"Average","Excellent")))</f>
        <v>Excellent</v>
      </c>
    </row>
    <row r="7" spans="1:10" x14ac:dyDescent="0.25">
      <c r="A7" t="s">
        <v>26</v>
      </c>
      <c r="B7" s="3">
        <v>2999</v>
      </c>
      <c r="C7" s="3" t="str">
        <f>IF(B7&lt;=Price_Q1,"Low Price",IF(B7&lt;=Price_Q3,"Medium Price","High Price"))</f>
        <v>High Price</v>
      </c>
      <c r="D7" s="3">
        <v>3290</v>
      </c>
      <c r="E7" s="3">
        <f t="shared" si="0"/>
        <v>291</v>
      </c>
      <c r="F7" s="1">
        <v>0.09</v>
      </c>
      <c r="G7" s="1" t="str">
        <f t="shared" si="1"/>
        <v>Low Discount</v>
      </c>
      <c r="H7" s="4">
        <v>15</v>
      </c>
      <c r="I7" s="5">
        <v>4</v>
      </c>
      <c r="J7" t="str">
        <f>IF(OR(H7="",I7=""),"",IF(I7&lt;3,"Poor",IF(I7&lt;=4,"Average","Excellent")))</f>
        <v>Average</v>
      </c>
    </row>
    <row r="8" spans="1:10" x14ac:dyDescent="0.25">
      <c r="A8" t="s">
        <v>30</v>
      </c>
      <c r="B8" s="3">
        <v>2319</v>
      </c>
      <c r="C8" s="3" t="str">
        <f>IF(B8&lt;=Price_Q1,"Low Price",IF(B8&lt;=Price_Q3,"Medium Price","High Price"))</f>
        <v>High Price</v>
      </c>
      <c r="D8" s="3">
        <v>3032</v>
      </c>
      <c r="E8" s="3">
        <f t="shared" si="0"/>
        <v>713</v>
      </c>
      <c r="F8" s="1">
        <v>0.24</v>
      </c>
      <c r="G8" s="1" t="str">
        <f t="shared" si="1"/>
        <v>Medium Discount</v>
      </c>
      <c r="H8" s="4">
        <v>55</v>
      </c>
      <c r="I8" s="5">
        <v>4.5999999999999996</v>
      </c>
      <c r="J8" t="str">
        <f>IF(OR(H8="",I8=""),"",IF(I8&lt;3,"Poor",IF(I8&lt;=4,"Average","Excellent")))</f>
        <v>Excellent</v>
      </c>
    </row>
    <row r="9" spans="1:10" x14ac:dyDescent="0.25">
      <c r="A9" t="s">
        <v>33</v>
      </c>
      <c r="B9" s="3">
        <v>988</v>
      </c>
      <c r="C9" s="3" t="str">
        <f>IF(B9&lt;=Price_Q1,"Low Price",IF(B9&lt;=Price_Q3,"Medium Price","High Price"))</f>
        <v>Medium Price</v>
      </c>
      <c r="D9" s="3">
        <v>1580</v>
      </c>
      <c r="E9" s="3">
        <f t="shared" si="0"/>
        <v>592</v>
      </c>
      <c r="F9" s="1">
        <v>0.37</v>
      </c>
      <c r="G9" s="1" t="str">
        <f t="shared" si="1"/>
        <v>Medium Discount</v>
      </c>
      <c r="H9" s="4">
        <v>2</v>
      </c>
      <c r="I9" s="5">
        <v>4</v>
      </c>
      <c r="J9" t="str">
        <f>IF(OR(H9="",I9=""),"",IF(I9&lt;3,"Poor",IF(I9&lt;=4,"Average","Excellent")))</f>
        <v>Average</v>
      </c>
    </row>
    <row r="10" spans="1:10" x14ac:dyDescent="0.25">
      <c r="A10" t="s">
        <v>35</v>
      </c>
      <c r="B10" s="3">
        <v>1274</v>
      </c>
      <c r="C10" s="3" t="str">
        <f>IF(B10&lt;=Price_Q1,"Low Price",IF(B10&lt;=Price_Q3,"Medium Price","High Price"))</f>
        <v>Medium Price</v>
      </c>
      <c r="D10" s="3">
        <v>2800</v>
      </c>
      <c r="E10" s="3">
        <f t="shared" si="0"/>
        <v>1526</v>
      </c>
      <c r="F10" s="1">
        <v>0.55000000000000004</v>
      </c>
      <c r="G10" s="1" t="str">
        <f t="shared" si="1"/>
        <v>High Discount</v>
      </c>
      <c r="H10" s="4">
        <v>5</v>
      </c>
      <c r="I10" s="5">
        <v>4.8</v>
      </c>
      <c r="J10" t="str">
        <f>IF(OR(H10="",I10=""),"",IF(I10&lt;3,"Poor",IF(I10&lt;=4,"Average","Excellent")))</f>
        <v>Excellent</v>
      </c>
    </row>
    <row r="11" spans="1:10" x14ac:dyDescent="0.25">
      <c r="A11" t="s">
        <v>38</v>
      </c>
      <c r="B11" s="3">
        <v>1600</v>
      </c>
      <c r="C11" s="3" t="str">
        <f>IF(B11&lt;=Price_Q1,"Low Price",IF(B11&lt;=Price_Q3,"Medium Price","High Price"))</f>
        <v>Medium Price</v>
      </c>
      <c r="D11" s="3">
        <v>2929</v>
      </c>
      <c r="E11" s="3">
        <f t="shared" si="0"/>
        <v>1329</v>
      </c>
      <c r="F11" s="1">
        <v>0.45</v>
      </c>
      <c r="G11" s="1" t="str">
        <f t="shared" si="1"/>
        <v>High Discount</v>
      </c>
      <c r="H11" s="4">
        <v>5</v>
      </c>
      <c r="I11" s="5">
        <v>3.8</v>
      </c>
      <c r="J11" t="str">
        <f>IF(OR(H11="",I11=""),"",IF(I11&lt;3,"Poor",IF(I11&lt;=4,"Average","Excellent")))</f>
        <v>Average</v>
      </c>
    </row>
    <row r="12" spans="1:10" x14ac:dyDescent="0.25">
      <c r="A12" t="s">
        <v>42</v>
      </c>
      <c r="B12" s="3">
        <v>799</v>
      </c>
      <c r="C12" s="3" t="str">
        <f>IF(B12&lt;=Price_Q1,"Low Price",IF(B12&lt;=Price_Q3,"Medium Price","High Price"))</f>
        <v>Medium Price</v>
      </c>
      <c r="D12" s="3">
        <v>999</v>
      </c>
      <c r="E12" s="3">
        <f t="shared" si="0"/>
        <v>200</v>
      </c>
      <c r="F12" s="1">
        <v>0.2</v>
      </c>
      <c r="G12" s="1" t="str">
        <f t="shared" si="1"/>
        <v>Medium Discount</v>
      </c>
      <c r="H12" s="4">
        <v>12</v>
      </c>
      <c r="I12" s="5">
        <v>4.0999999999999996</v>
      </c>
      <c r="J12" t="str">
        <f>IF(OR(H12="",I12=""),"",IF(I12&lt;3,"Poor",IF(I12&lt;=4,"Average","Excellent")))</f>
        <v>Excellent</v>
      </c>
    </row>
    <row r="13" spans="1:10" x14ac:dyDescent="0.25">
      <c r="A13" t="s">
        <v>44</v>
      </c>
      <c r="B13" s="3">
        <v>990</v>
      </c>
      <c r="C13" s="3" t="str">
        <f>IF(B13&lt;=Price_Q1,"Low Price",IF(B13&lt;=Price_Q3,"Medium Price","High Price"))</f>
        <v>Medium Price</v>
      </c>
      <c r="D13" s="3">
        <v>1500</v>
      </c>
      <c r="E13" s="3">
        <f t="shared" si="0"/>
        <v>510</v>
      </c>
      <c r="F13" s="1">
        <v>0.34</v>
      </c>
      <c r="G13" s="1" t="str">
        <f t="shared" si="1"/>
        <v>Medium Discount</v>
      </c>
      <c r="H13" s="4">
        <v>39</v>
      </c>
      <c r="I13" s="5">
        <v>4.7</v>
      </c>
      <c r="J13" t="str">
        <f>IF(OR(H13="",I13=""),"",IF(I13&lt;3,"Poor",IF(I13&lt;=4,"Average","Excellent")))</f>
        <v>Excellent</v>
      </c>
    </row>
    <row r="14" spans="1:10" x14ac:dyDescent="0.25">
      <c r="A14" t="s">
        <v>47</v>
      </c>
      <c r="B14" s="3">
        <v>552</v>
      </c>
      <c r="C14" s="3" t="str">
        <f>IF(B14&lt;=Price_Q1,"Low Price",IF(B14&lt;=Price_Q3,"Medium Price","High Price"))</f>
        <v>Medium Price</v>
      </c>
      <c r="D14" s="3">
        <v>1035</v>
      </c>
      <c r="E14" s="3">
        <f t="shared" si="0"/>
        <v>483</v>
      </c>
      <c r="F14" s="1">
        <v>0.47</v>
      </c>
      <c r="G14" s="1" t="str">
        <f t="shared" si="1"/>
        <v>High Discount</v>
      </c>
      <c r="H14" s="4">
        <v>12</v>
      </c>
      <c r="I14" s="5">
        <v>4.8</v>
      </c>
      <c r="J14" t="str">
        <f>IF(OR(H14="",I14=""),"",IF(I14&lt;3,"Poor",IF(I14&lt;=4,"Average","Excellent")))</f>
        <v>Excellent</v>
      </c>
    </row>
    <row r="15" spans="1:10" x14ac:dyDescent="0.25">
      <c r="A15" t="s">
        <v>50</v>
      </c>
      <c r="B15" s="3">
        <v>501</v>
      </c>
      <c r="C15" s="3" t="str">
        <f>IF(B15&lt;=Price_Q1,"Low Price",IF(B15&lt;=Price_Q3,"Medium Price","High Price"))</f>
        <v>Medium Price</v>
      </c>
      <c r="D15" s="3">
        <v>860</v>
      </c>
      <c r="E15" s="3">
        <f t="shared" si="0"/>
        <v>359</v>
      </c>
      <c r="F15" s="1">
        <v>0.42</v>
      </c>
      <c r="G15" s="1" t="str">
        <f t="shared" si="1"/>
        <v>High Discount</v>
      </c>
      <c r="H15" s="4">
        <v>6</v>
      </c>
      <c r="I15" s="5">
        <v>4.5</v>
      </c>
      <c r="J15" t="str">
        <f>IF(OR(H15="",I15=""),"",IF(I15&lt;3,"Poor",IF(I15&lt;=4,"Average","Excellent")))</f>
        <v>Excellent</v>
      </c>
    </row>
    <row r="16" spans="1:10" x14ac:dyDescent="0.25">
      <c r="A16" t="s">
        <v>53</v>
      </c>
      <c r="B16" s="3">
        <v>1680</v>
      </c>
      <c r="C16" s="3" t="str">
        <f>IF(B16&lt;=Price_Q1,"Low Price",IF(B16&lt;=Price_Q3,"Medium Price","High Price"))</f>
        <v>High Price</v>
      </c>
      <c r="D16" s="3">
        <v>2499</v>
      </c>
      <c r="E16" s="3">
        <f t="shared" si="0"/>
        <v>819</v>
      </c>
      <c r="F16" s="1">
        <v>0.33</v>
      </c>
      <c r="G16" s="1" t="str">
        <f t="shared" si="1"/>
        <v>Medium Discount</v>
      </c>
      <c r="H16" s="4">
        <v>9</v>
      </c>
      <c r="I16" s="5">
        <v>4.2</v>
      </c>
      <c r="J16" t="str">
        <f>IF(OR(H16="",I16=""),"",IF(I16&lt;3,"Poor",IF(I16&lt;=4,"Average","Excellent")))</f>
        <v>Excellent</v>
      </c>
    </row>
    <row r="17" spans="1:10" x14ac:dyDescent="0.25">
      <c r="A17" t="s">
        <v>326</v>
      </c>
      <c r="B17" s="3">
        <v>332</v>
      </c>
      <c r="C17" s="3" t="str">
        <f>IF(B17&lt;=Price_Q1,"Low Price",IF(B17&lt;=Price_Q3,"Medium Price","High Price"))</f>
        <v>Low Price</v>
      </c>
      <c r="D17" s="3">
        <v>684</v>
      </c>
      <c r="E17" s="3">
        <f t="shared" si="0"/>
        <v>352</v>
      </c>
      <c r="F17" s="1">
        <v>0.51</v>
      </c>
      <c r="G17" s="1" t="str">
        <f t="shared" si="1"/>
        <v>High Discount</v>
      </c>
      <c r="H17" s="4">
        <v>2</v>
      </c>
      <c r="I17" s="5">
        <v>5</v>
      </c>
      <c r="J17" t="str">
        <f>IF(OR(H17="",I17=""),"",IF(I17&lt;3,"Poor",IF(I17&lt;=4,"Average","Excellent")))</f>
        <v>Excellent</v>
      </c>
    </row>
    <row r="18" spans="1:10" x14ac:dyDescent="0.25">
      <c r="A18" t="s">
        <v>327</v>
      </c>
      <c r="B18" s="3">
        <v>195</v>
      </c>
      <c r="C18" s="3" t="str">
        <f>IF(B18&lt;=Price_Q1,"Low Price",IF(B18&lt;=Price_Q3,"Medium Price","High Price"))</f>
        <v>Low Price</v>
      </c>
      <c r="D18" s="3">
        <v>360</v>
      </c>
      <c r="E18" s="3">
        <f t="shared" si="0"/>
        <v>165</v>
      </c>
      <c r="F18" s="1">
        <v>0.46</v>
      </c>
      <c r="G18" s="1" t="str">
        <f t="shared" si="1"/>
        <v>High Discount</v>
      </c>
      <c r="H18" s="4">
        <v>2</v>
      </c>
      <c r="I18" s="5">
        <v>5</v>
      </c>
      <c r="J18" t="str">
        <f>IF(OR(H18="",I18=""),"",IF(I18&lt;3,"Poor",IF(I18&lt;=4,"Average","Excellent")))</f>
        <v>Excellent</v>
      </c>
    </row>
    <row r="19" spans="1:10" x14ac:dyDescent="0.25">
      <c r="A19" t="s">
        <v>63</v>
      </c>
      <c r="B19" s="3">
        <v>2025</v>
      </c>
      <c r="C19" s="3" t="str">
        <f>IF(B19&lt;=Price_Q1,"Low Price",IF(B19&lt;=Price_Q3,"Medium Price","High Price"))</f>
        <v>High Price</v>
      </c>
      <c r="D19" s="3">
        <v>3971</v>
      </c>
      <c r="E19" s="3">
        <f t="shared" si="0"/>
        <v>1946</v>
      </c>
      <c r="F19" s="1">
        <v>0.49</v>
      </c>
      <c r="G19" s="1" t="str">
        <f t="shared" si="1"/>
        <v>High Discount</v>
      </c>
      <c r="H19" s="4">
        <v>3</v>
      </c>
      <c r="I19" s="5">
        <v>5</v>
      </c>
      <c r="J19" t="str">
        <f>IF(OR(H19="",I19=""),"",IF(I19&lt;3,"Poor",IF(I19&lt;=4,"Average","Excellent")))</f>
        <v>Excellent</v>
      </c>
    </row>
    <row r="20" spans="1:10" x14ac:dyDescent="0.25">
      <c r="A20" t="s">
        <v>66</v>
      </c>
      <c r="B20" s="3">
        <v>2999</v>
      </c>
      <c r="C20" s="3" t="str">
        <f>IF(B20&lt;=Price_Q1,"Low Price",IF(B20&lt;=Price_Q3,"Medium Price","High Price"))</f>
        <v>High Price</v>
      </c>
      <c r="D20" s="3">
        <v>3699</v>
      </c>
      <c r="E20" s="3">
        <f t="shared" si="0"/>
        <v>700</v>
      </c>
      <c r="F20" s="1">
        <v>0.19</v>
      </c>
      <c r="G20" s="1" t="str">
        <f t="shared" si="1"/>
        <v>Low Discount</v>
      </c>
      <c r="H20" s="4">
        <v>5</v>
      </c>
      <c r="I20" s="5">
        <v>4.5999999999999996</v>
      </c>
      <c r="J20" t="str">
        <f>IF(OR(H20="",I20=""),"",IF(I20&lt;3,"Poor",IF(I20&lt;=4,"Average","Excellent")))</f>
        <v>Excellent</v>
      </c>
    </row>
    <row r="21" spans="1:10" x14ac:dyDescent="0.25">
      <c r="A21" t="s">
        <v>68</v>
      </c>
      <c r="B21" s="3">
        <v>998</v>
      </c>
      <c r="C21" s="3" t="str">
        <f>IF(B21&lt;=Price_Q1,"Low Price",IF(B21&lt;=Price_Q3,"Medium Price","High Price"))</f>
        <v>Medium Price</v>
      </c>
      <c r="D21" s="3">
        <v>1966</v>
      </c>
      <c r="E21" s="3">
        <f t="shared" si="0"/>
        <v>968</v>
      </c>
      <c r="F21" s="1">
        <v>0.49</v>
      </c>
      <c r="G21" s="1" t="str">
        <f t="shared" si="1"/>
        <v>High Discount</v>
      </c>
      <c r="H21" s="4">
        <v>44</v>
      </c>
      <c r="I21" s="5">
        <v>4.5999999999999996</v>
      </c>
      <c r="J21" t="str">
        <f>IF(OR(H21="",I21=""),"",IF(I21&lt;3,"Poor",IF(I21&lt;=4,"Average","Excellent")))</f>
        <v>Excellent</v>
      </c>
    </row>
    <row r="22" spans="1:10" x14ac:dyDescent="0.25">
      <c r="A22" t="s">
        <v>71</v>
      </c>
      <c r="B22" s="3">
        <v>38</v>
      </c>
      <c r="C22" s="3" t="str">
        <f>IF(B22&lt;=Price_Q1,"Low Price",IF(B22&lt;=Price_Q3,"Medium Price","High Price"))</f>
        <v>Low Price</v>
      </c>
      <c r="D22" s="3">
        <v>80</v>
      </c>
      <c r="E22" s="3">
        <f t="shared" si="0"/>
        <v>42</v>
      </c>
      <c r="F22" s="1">
        <v>0.53</v>
      </c>
      <c r="G22" s="1" t="str">
        <f t="shared" si="1"/>
        <v>High Discount</v>
      </c>
      <c r="H22" s="4">
        <v>13</v>
      </c>
      <c r="I22" s="5">
        <v>3.3</v>
      </c>
      <c r="J22" t="str">
        <f>IF(OR(H22="",I22=""),"",IF(I22&lt;3,"Poor",IF(I22&lt;=4,"Average","Excellent")))</f>
        <v>Average</v>
      </c>
    </row>
    <row r="23" spans="1:10" x14ac:dyDescent="0.25">
      <c r="A23" t="s">
        <v>75</v>
      </c>
      <c r="B23" s="3">
        <v>1860</v>
      </c>
      <c r="C23" s="3" t="str">
        <f>IF(B23&lt;=Price_Q1,"Low Price",IF(B23&lt;=Price_Q3,"Medium Price","High Price"))</f>
        <v>High Price</v>
      </c>
      <c r="D23" s="3">
        <v>3220</v>
      </c>
      <c r="E23" s="3">
        <f t="shared" si="0"/>
        <v>1360</v>
      </c>
      <c r="F23" s="1">
        <v>0.42</v>
      </c>
      <c r="G23" s="1" t="str">
        <f t="shared" si="1"/>
        <v>High Discount</v>
      </c>
      <c r="H23" s="4" t="s">
        <v>324</v>
      </c>
      <c r="I23" s="5" t="s">
        <v>324</v>
      </c>
      <c r="J23" t="s">
        <v>324</v>
      </c>
    </row>
    <row r="24" spans="1:10" x14ac:dyDescent="0.25">
      <c r="A24" t="s">
        <v>78</v>
      </c>
      <c r="B24" s="3">
        <v>880</v>
      </c>
      <c r="C24" s="3" t="str">
        <f>IF(B24&lt;=Price_Q1,"Low Price",IF(B24&lt;=Price_Q3,"Medium Price","High Price"))</f>
        <v>Medium Price</v>
      </c>
      <c r="D24" s="3">
        <v>1350</v>
      </c>
      <c r="E24" s="3">
        <f t="shared" si="0"/>
        <v>470</v>
      </c>
      <c r="F24" s="1">
        <v>0.35</v>
      </c>
      <c r="G24" s="1" t="str">
        <f t="shared" si="1"/>
        <v>Medium Discount</v>
      </c>
      <c r="H24" s="4">
        <v>6</v>
      </c>
      <c r="I24" s="5">
        <v>4</v>
      </c>
      <c r="J24" t="str">
        <f>IF(OR(H24="",I24=""),"",IF(I24&lt;3,"Poor",IF(I24&lt;=4,"Average","Excellent")))</f>
        <v>Average</v>
      </c>
    </row>
    <row r="25" spans="1:10" x14ac:dyDescent="0.25">
      <c r="A25" t="s">
        <v>81</v>
      </c>
      <c r="B25" s="3">
        <v>1650</v>
      </c>
      <c r="C25" s="3" t="str">
        <f>IF(B25&lt;=Price_Q1,"Low Price",IF(B25&lt;=Price_Q3,"Medium Price","High Price"))</f>
        <v>Medium Price</v>
      </c>
      <c r="D25" s="3">
        <v>2150</v>
      </c>
      <c r="E25" s="3">
        <f t="shared" si="0"/>
        <v>500</v>
      </c>
      <c r="F25" s="1">
        <v>0.23</v>
      </c>
      <c r="G25" s="1" t="str">
        <f t="shared" si="1"/>
        <v>Medium Discount</v>
      </c>
      <c r="H25" s="4">
        <v>14</v>
      </c>
      <c r="I25" s="5">
        <v>4.4000000000000004</v>
      </c>
      <c r="J25" t="str">
        <f>IF(OR(H25="",I25=""),"",IF(I25&lt;3,"Poor",IF(I25&lt;=4,"Average","Excellent")))</f>
        <v>Excellent</v>
      </c>
    </row>
    <row r="26" spans="1:10" x14ac:dyDescent="0.25">
      <c r="A26" t="s">
        <v>85</v>
      </c>
      <c r="B26" s="3">
        <v>2048</v>
      </c>
      <c r="C26" s="3" t="str">
        <f>IF(B26&lt;=Price_Q1,"Low Price",IF(B26&lt;=Price_Q3,"Medium Price","High Price"))</f>
        <v>High Price</v>
      </c>
      <c r="D26" s="3">
        <v>4500</v>
      </c>
      <c r="E26" s="3">
        <f t="shared" si="0"/>
        <v>2452</v>
      </c>
      <c r="F26" s="1">
        <v>0.54</v>
      </c>
      <c r="G26" s="1" t="str">
        <f t="shared" si="1"/>
        <v>High Discount</v>
      </c>
      <c r="H26" s="4">
        <v>7</v>
      </c>
      <c r="I26" s="5">
        <v>4.3</v>
      </c>
      <c r="J26" t="str">
        <f>IF(OR(H26="",I26=""),"",IF(I26&lt;3,"Poor",IF(I26&lt;=4,"Average","Excellent")))</f>
        <v>Excellent</v>
      </c>
    </row>
    <row r="27" spans="1:10" x14ac:dyDescent="0.25">
      <c r="A27" t="s">
        <v>89</v>
      </c>
      <c r="B27" s="3">
        <v>420</v>
      </c>
      <c r="C27" s="3" t="str">
        <f>IF(B27&lt;=Price_Q1,"Low Price",IF(B27&lt;=Price_Q3,"Medium Price","High Price"))</f>
        <v>Low Price</v>
      </c>
      <c r="D27" s="3">
        <v>647</v>
      </c>
      <c r="E27" s="3">
        <f t="shared" si="0"/>
        <v>227</v>
      </c>
      <c r="F27" s="1">
        <v>0.35</v>
      </c>
      <c r="G27" s="1" t="str">
        <f t="shared" si="1"/>
        <v>Medium Discount</v>
      </c>
      <c r="H27" s="4">
        <v>49</v>
      </c>
      <c r="I27" s="5">
        <v>4.5999999999999996</v>
      </c>
      <c r="J27" t="str">
        <f>IF(OR(H27="",I27=""),"",IF(I27&lt;3,"Poor",IF(I27&lt;=4,"Average","Excellent")))</f>
        <v>Excellent</v>
      </c>
    </row>
    <row r="28" spans="1:10" x14ac:dyDescent="0.25">
      <c r="A28" t="s">
        <v>92</v>
      </c>
      <c r="B28" s="3">
        <v>2880</v>
      </c>
      <c r="C28" s="3" t="str">
        <f>IF(B28&lt;=Price_Q1,"Low Price",IF(B28&lt;=Price_Q3,"Medium Price","High Price"))</f>
        <v>High Price</v>
      </c>
      <c r="D28" s="3">
        <v>3520</v>
      </c>
      <c r="E28" s="3">
        <f t="shared" si="0"/>
        <v>640</v>
      </c>
      <c r="F28" s="1">
        <v>0.18</v>
      </c>
      <c r="G28" s="1" t="str">
        <f t="shared" si="1"/>
        <v>Low Discount</v>
      </c>
      <c r="H28" s="4">
        <v>12</v>
      </c>
      <c r="I28" s="5">
        <v>3.8</v>
      </c>
      <c r="J28" t="str">
        <f>IF(OR(H28="",I28=""),"",IF(I28&lt;3,"Poor",IF(I28&lt;=4,"Average","Excellent")))</f>
        <v>Average</v>
      </c>
    </row>
    <row r="29" spans="1:10" x14ac:dyDescent="0.25">
      <c r="A29" t="s">
        <v>95</v>
      </c>
      <c r="B29" s="3">
        <v>1350</v>
      </c>
      <c r="C29" s="3" t="str">
        <f>IF(B29&lt;=Price_Q1,"Low Price",IF(B29&lt;=Price_Q3,"Medium Price","High Price"))</f>
        <v>Medium Price</v>
      </c>
      <c r="D29" s="3">
        <v>1990</v>
      </c>
      <c r="E29" s="3">
        <f t="shared" si="0"/>
        <v>640</v>
      </c>
      <c r="F29" s="1">
        <v>0.32</v>
      </c>
      <c r="G29" s="1" t="str">
        <f t="shared" si="1"/>
        <v>Medium Discount</v>
      </c>
      <c r="H29" s="4">
        <v>13</v>
      </c>
      <c r="I29" s="5">
        <v>3.8</v>
      </c>
      <c r="J29" t="str">
        <f>IF(OR(H29="",I29=""),"",IF(I29&lt;3,"Poor",IF(I29&lt;=4,"Average","Excellent")))</f>
        <v>Average</v>
      </c>
    </row>
    <row r="30" spans="1:10" x14ac:dyDescent="0.25">
      <c r="A30" t="s">
        <v>97</v>
      </c>
      <c r="B30" s="3">
        <v>1758</v>
      </c>
      <c r="C30" s="3" t="str">
        <f>IF(B30&lt;=Price_Q1,"Low Price",IF(B30&lt;=Price_Q3,"Medium Price","High Price"))</f>
        <v>High Price</v>
      </c>
      <c r="D30" s="3">
        <v>2499</v>
      </c>
      <c r="E30" s="3">
        <f t="shared" si="0"/>
        <v>741</v>
      </c>
      <c r="F30" s="1">
        <v>0.3</v>
      </c>
      <c r="G30" s="1" t="str">
        <f t="shared" si="1"/>
        <v>Medium Discount</v>
      </c>
      <c r="H30" s="4">
        <v>20</v>
      </c>
      <c r="I30" s="5">
        <v>4.0999999999999996</v>
      </c>
      <c r="J30" t="str">
        <f>IF(OR(H30="",I30=""),"",IF(I30&lt;3,"Poor",IF(I30&lt;=4,"Average","Excellent")))</f>
        <v>Excellent</v>
      </c>
    </row>
    <row r="31" spans="1:10" x14ac:dyDescent="0.25">
      <c r="A31" t="s">
        <v>99</v>
      </c>
      <c r="B31" s="3">
        <v>2200</v>
      </c>
      <c r="C31" s="3" t="str">
        <f>IF(B31&lt;=Price_Q1,"Low Price",IF(B31&lt;=Price_Q3,"Medium Price","High Price"))</f>
        <v>High Price</v>
      </c>
      <c r="D31" s="3">
        <v>4080</v>
      </c>
      <c r="E31" s="3">
        <f t="shared" si="0"/>
        <v>1880</v>
      </c>
      <c r="F31" s="1">
        <v>0.46</v>
      </c>
      <c r="G31" s="1" t="str">
        <f t="shared" si="1"/>
        <v>High Discount</v>
      </c>
      <c r="H31" s="4" t="s">
        <v>324</v>
      </c>
      <c r="I31" s="5" t="s">
        <v>324</v>
      </c>
      <c r="J31" t="s">
        <v>324</v>
      </c>
    </row>
    <row r="32" spans="1:10" x14ac:dyDescent="0.25">
      <c r="A32" t="s">
        <v>102</v>
      </c>
      <c r="B32" s="3">
        <v>185</v>
      </c>
      <c r="C32" s="3" t="str">
        <f>IF(B32&lt;=Price_Q1,"Low Price",IF(B32&lt;=Price_Q3,"Medium Price","High Price"))</f>
        <v>Low Price</v>
      </c>
      <c r="D32" s="3">
        <v>382</v>
      </c>
      <c r="E32" s="3">
        <f t="shared" si="0"/>
        <v>197</v>
      </c>
      <c r="F32" s="1">
        <v>0.52</v>
      </c>
      <c r="G32" s="1" t="str">
        <f t="shared" si="1"/>
        <v>High Discount</v>
      </c>
      <c r="H32" s="4">
        <v>9</v>
      </c>
      <c r="I32" s="5">
        <v>4.3</v>
      </c>
      <c r="J32" t="str">
        <f>IF(OR(H32="",I32=""),"",IF(I32&lt;3,"Poor",IF(I32&lt;=4,"Average","Excellent")))</f>
        <v>Excellent</v>
      </c>
    </row>
    <row r="33" spans="1:10" x14ac:dyDescent="0.25">
      <c r="A33" t="s">
        <v>105</v>
      </c>
      <c r="B33" s="3">
        <v>980</v>
      </c>
      <c r="C33" s="3" t="str">
        <f>IF(B33&lt;=Price_Q1,"Low Price",IF(B33&lt;=Price_Q3,"Medium Price","High Price"))</f>
        <v>Medium Price</v>
      </c>
      <c r="D33" s="3">
        <v>1490</v>
      </c>
      <c r="E33" s="3">
        <f t="shared" si="0"/>
        <v>510</v>
      </c>
      <c r="F33" s="1">
        <v>0.34</v>
      </c>
      <c r="G33" s="1" t="str">
        <f t="shared" si="1"/>
        <v>Medium Discount</v>
      </c>
      <c r="H33" s="4">
        <v>12</v>
      </c>
      <c r="I33" s="5">
        <v>4.7</v>
      </c>
      <c r="J33" t="str">
        <f>IF(OR(H33="",I33=""),"",IF(I33&lt;3,"Poor",IF(I33&lt;=4,"Average","Excellent")))</f>
        <v>Excellent</v>
      </c>
    </row>
    <row r="34" spans="1:10" x14ac:dyDescent="0.25">
      <c r="A34" t="s">
        <v>328</v>
      </c>
      <c r="B34" s="3">
        <v>1820</v>
      </c>
      <c r="C34" s="3" t="str">
        <f>IF(B34&lt;=Price_Q1,"Low Price",IF(B34&lt;=Price_Q3,"Medium Price","High Price"))</f>
        <v>High Price</v>
      </c>
      <c r="D34" s="3">
        <v>3490</v>
      </c>
      <c r="E34" s="3">
        <f t="shared" si="0"/>
        <v>1670</v>
      </c>
      <c r="F34" s="1">
        <v>0.48</v>
      </c>
      <c r="G34" s="1" t="str">
        <f t="shared" si="1"/>
        <v>High Discount</v>
      </c>
      <c r="H34" s="4">
        <v>9</v>
      </c>
      <c r="I34" s="5">
        <v>4.3</v>
      </c>
      <c r="J34" t="str">
        <f>IF(OR(H34="",I34=""),"",IF(I34&lt;3,"Poor",IF(I34&lt;=4,"Average","Excellent")))</f>
        <v>Excellent</v>
      </c>
    </row>
    <row r="35" spans="1:10" x14ac:dyDescent="0.25">
      <c r="A35" t="s">
        <v>111</v>
      </c>
      <c r="B35" s="3">
        <v>1940</v>
      </c>
      <c r="C35" s="3" t="str">
        <f>IF(B35&lt;=Price_Q1,"Low Price",IF(B35&lt;=Price_Q3,"Medium Price","High Price"))</f>
        <v>High Price</v>
      </c>
      <c r="D35" s="3">
        <v>2650</v>
      </c>
      <c r="E35" s="3">
        <f t="shared" si="0"/>
        <v>710</v>
      </c>
      <c r="F35" s="1">
        <v>0.27</v>
      </c>
      <c r="G35" s="1" t="str">
        <f t="shared" si="1"/>
        <v>Medium Discount</v>
      </c>
      <c r="H35" s="4">
        <v>20</v>
      </c>
      <c r="I35" s="5">
        <v>4.7</v>
      </c>
      <c r="J35" t="str">
        <f>IF(OR(H35="",I35=""),"",IF(I35&lt;3,"Poor",IF(I35&lt;=4,"Average","Excellent")))</f>
        <v>Excellent</v>
      </c>
    </row>
    <row r="36" spans="1:10" x14ac:dyDescent="0.25">
      <c r="A36" t="s">
        <v>114</v>
      </c>
      <c r="B36" s="3">
        <v>1980</v>
      </c>
      <c r="C36" s="3" t="str">
        <f>IF(B36&lt;=Price_Q1,"Low Price",IF(B36&lt;=Price_Q3,"Medium Price","High Price"))</f>
        <v>High Price</v>
      </c>
      <c r="D36" s="3">
        <v>2699</v>
      </c>
      <c r="E36" s="3">
        <f t="shared" si="0"/>
        <v>719</v>
      </c>
      <c r="F36" s="1">
        <v>0.27</v>
      </c>
      <c r="G36" s="1" t="str">
        <f t="shared" si="1"/>
        <v>Medium Discount</v>
      </c>
      <c r="H36" s="4">
        <v>32</v>
      </c>
      <c r="I36" s="5">
        <v>4.5</v>
      </c>
      <c r="J36" t="str">
        <f>IF(OR(H36="",I36=""),"",IF(I36&lt;3,"Poor",IF(I36&lt;=4,"Average","Excellent")))</f>
        <v>Excellent</v>
      </c>
    </row>
    <row r="37" spans="1:10" x14ac:dyDescent="0.25">
      <c r="A37" t="s">
        <v>117</v>
      </c>
      <c r="B37" s="3">
        <v>1620</v>
      </c>
      <c r="C37" s="3" t="str">
        <f>IF(B37&lt;=Price_Q1,"Low Price",IF(B37&lt;=Price_Q3,"Medium Price","High Price"))</f>
        <v>Medium Price</v>
      </c>
      <c r="D37" s="3">
        <v>2690</v>
      </c>
      <c r="E37" s="3">
        <f t="shared" si="0"/>
        <v>1070</v>
      </c>
      <c r="F37" s="1">
        <v>0.4</v>
      </c>
      <c r="G37" s="1" t="str">
        <f t="shared" si="1"/>
        <v>Medium Discount</v>
      </c>
      <c r="H37" s="4">
        <v>1</v>
      </c>
      <c r="I37" s="5">
        <v>5</v>
      </c>
      <c r="J37" t="str">
        <f>IF(OR(H37="",I37=""),"",IF(I37&lt;3,"Poor",IF(I37&lt;=4,"Average","Excellent")))</f>
        <v>Excellent</v>
      </c>
    </row>
    <row r="38" spans="1:10" x14ac:dyDescent="0.25">
      <c r="A38" t="s">
        <v>120</v>
      </c>
      <c r="B38" s="3">
        <v>171</v>
      </c>
      <c r="C38" s="3" t="str">
        <f>IF(B38&lt;=Price_Q1,"Low Price",IF(B38&lt;=Price_Q3,"Medium Price","High Price"))</f>
        <v>Low Price</v>
      </c>
      <c r="D38" s="3">
        <v>360</v>
      </c>
      <c r="E38" s="3">
        <f t="shared" si="0"/>
        <v>189</v>
      </c>
      <c r="F38" s="1">
        <v>0.53</v>
      </c>
      <c r="G38" s="1" t="str">
        <f t="shared" si="1"/>
        <v>High Discount</v>
      </c>
      <c r="H38" s="4">
        <v>2</v>
      </c>
      <c r="I38" s="5">
        <v>5</v>
      </c>
      <c r="J38" t="str">
        <f>IF(OR(H38="",I38=""),"",IF(I38&lt;3,"Poor",IF(I38&lt;=4,"Average","Excellent")))</f>
        <v>Excellent</v>
      </c>
    </row>
    <row r="39" spans="1:10" x14ac:dyDescent="0.25">
      <c r="A39" t="s">
        <v>122</v>
      </c>
      <c r="B39" s="3">
        <v>389</v>
      </c>
      <c r="C39" s="3" t="str">
        <f>IF(B39&lt;=Price_Q1,"Low Price",IF(B39&lt;=Price_Q3,"Medium Price","High Price"))</f>
        <v>Low Price</v>
      </c>
      <c r="D39" s="3">
        <v>656</v>
      </c>
      <c r="E39" s="3">
        <f t="shared" si="0"/>
        <v>267</v>
      </c>
      <c r="F39" s="1">
        <v>0.41</v>
      </c>
      <c r="G39" s="1" t="str">
        <f t="shared" si="1"/>
        <v>High Discount</v>
      </c>
      <c r="H39" s="4">
        <v>36</v>
      </c>
      <c r="I39" s="5">
        <v>4.3</v>
      </c>
      <c r="J39" t="str">
        <f>IF(OR(H39="",I39=""),"",IF(I39&lt;3,"Poor",IF(I39&lt;=4,"Average","Excellent")))</f>
        <v>Excellent</v>
      </c>
    </row>
    <row r="40" spans="1:10" x14ac:dyDescent="0.25">
      <c r="A40" t="s">
        <v>125</v>
      </c>
      <c r="B40" s="3">
        <f>AVERAGE(1620,1980)</f>
        <v>1800</v>
      </c>
      <c r="C40" s="3" t="str">
        <f>IF(B40&lt;=Price_Q1,"Low Price",IF(B40&lt;=Price_Q3,"Medium Price","High Price"))</f>
        <v>High Price</v>
      </c>
      <c r="D40" s="3">
        <f>AVERAGE(2200,3200)</f>
        <v>2700</v>
      </c>
      <c r="E40" s="3">
        <f t="shared" si="0"/>
        <v>900</v>
      </c>
      <c r="F40" s="1">
        <v>0.38</v>
      </c>
      <c r="G40" s="1" t="str">
        <f t="shared" si="1"/>
        <v>Medium Discount</v>
      </c>
      <c r="H40" s="4">
        <v>2</v>
      </c>
      <c r="I40" s="5">
        <v>4.5</v>
      </c>
      <c r="J40" t="str">
        <f>IF(OR(H40="",I40=""),"",IF(I40&lt;3,"Poor",IF(I40&lt;=4,"Average","Excellent")))</f>
        <v>Excellent</v>
      </c>
    </row>
    <row r="41" spans="1:10" x14ac:dyDescent="0.25">
      <c r="A41" t="s">
        <v>128</v>
      </c>
      <c r="B41" s="3">
        <v>2750</v>
      </c>
      <c r="C41" s="3" t="str">
        <f>IF(B41&lt;=Price_Q1,"Low Price",IF(B41&lt;=Price_Q3,"Medium Price","High Price"))</f>
        <v>High Price</v>
      </c>
      <c r="D41" s="3">
        <v>4471</v>
      </c>
      <c r="E41" s="3">
        <f t="shared" si="0"/>
        <v>1721</v>
      </c>
      <c r="F41" s="1">
        <v>0.38</v>
      </c>
      <c r="G41" s="1" t="str">
        <f t="shared" si="1"/>
        <v>Medium Discount</v>
      </c>
      <c r="H41" s="4" t="s">
        <v>324</v>
      </c>
      <c r="I41" s="5" t="s">
        <v>324</v>
      </c>
      <c r="J41" t="s">
        <v>324</v>
      </c>
    </row>
    <row r="42" spans="1:10" x14ac:dyDescent="0.25">
      <c r="A42" t="s">
        <v>131</v>
      </c>
      <c r="B42" s="3">
        <v>475</v>
      </c>
      <c r="C42" s="3" t="str">
        <f>IF(B42&lt;=Price_Q1,"Low Price",IF(B42&lt;=Price_Q3,"Medium Price","High Price"))</f>
        <v>Low Price</v>
      </c>
      <c r="D42" s="3">
        <v>931</v>
      </c>
      <c r="E42" s="3">
        <f t="shared" si="0"/>
        <v>456</v>
      </c>
      <c r="F42" s="1">
        <v>0.49</v>
      </c>
      <c r="G42" s="1" t="str">
        <f t="shared" si="1"/>
        <v>High Discount</v>
      </c>
      <c r="H42" s="4" t="s">
        <v>324</v>
      </c>
      <c r="I42" s="5" t="s">
        <v>324</v>
      </c>
      <c r="J42" t="s">
        <v>324</v>
      </c>
    </row>
    <row r="43" spans="1:10" x14ac:dyDescent="0.25">
      <c r="A43" t="s">
        <v>134</v>
      </c>
      <c r="B43" s="3">
        <v>238</v>
      </c>
      <c r="C43" s="3" t="str">
        <f>IF(B43&lt;=Price_Q1,"Low Price",IF(B43&lt;=Price_Q3,"Medium Price","High Price"))</f>
        <v>Low Price</v>
      </c>
      <c r="D43" s="3">
        <v>476</v>
      </c>
      <c r="E43" s="3">
        <f t="shared" si="0"/>
        <v>238</v>
      </c>
      <c r="F43" s="1">
        <v>0.5</v>
      </c>
      <c r="G43" s="1" t="str">
        <f t="shared" si="1"/>
        <v>High Discount</v>
      </c>
      <c r="H43" s="4" t="s">
        <v>324</v>
      </c>
      <c r="I43" s="5" t="s">
        <v>324</v>
      </c>
      <c r="J43" t="s">
        <v>324</v>
      </c>
    </row>
    <row r="44" spans="1:10" x14ac:dyDescent="0.25">
      <c r="A44" t="s">
        <v>137</v>
      </c>
      <c r="B44" s="3">
        <v>610</v>
      </c>
      <c r="C44" s="3" t="str">
        <f>IF(B44&lt;=Price_Q1,"Low Price",IF(B44&lt;=Price_Q3,"Medium Price","High Price"))</f>
        <v>Medium Price</v>
      </c>
      <c r="D44" s="3">
        <v>1060</v>
      </c>
      <c r="E44" s="3">
        <f t="shared" si="0"/>
        <v>450</v>
      </c>
      <c r="F44" s="1">
        <v>0.42</v>
      </c>
      <c r="G44" s="1" t="str">
        <f t="shared" si="1"/>
        <v>High Discount</v>
      </c>
      <c r="H44" s="4" t="s">
        <v>324</v>
      </c>
      <c r="I44" s="5" t="s">
        <v>324</v>
      </c>
      <c r="J44" t="s">
        <v>324</v>
      </c>
    </row>
    <row r="45" spans="1:10" x14ac:dyDescent="0.25">
      <c r="A45" t="s">
        <v>140</v>
      </c>
      <c r="B45" s="3">
        <v>2132</v>
      </c>
      <c r="C45" s="3" t="str">
        <f>IF(B45&lt;=Price_Q1,"Low Price",IF(B45&lt;=Price_Q3,"Medium Price","High Price"))</f>
        <v>High Price</v>
      </c>
      <c r="D45" s="3">
        <v>2169</v>
      </c>
      <c r="E45" s="3">
        <f t="shared" si="0"/>
        <v>37</v>
      </c>
      <c r="F45" s="1">
        <v>0.02</v>
      </c>
      <c r="G45" s="1" t="str">
        <f t="shared" si="1"/>
        <v>Low Discount</v>
      </c>
      <c r="H45" s="4" t="s">
        <v>324</v>
      </c>
      <c r="I45" s="5" t="s">
        <v>324</v>
      </c>
      <c r="J45" t="s">
        <v>324</v>
      </c>
    </row>
    <row r="46" spans="1:10" x14ac:dyDescent="0.25">
      <c r="A46" t="s">
        <v>143</v>
      </c>
      <c r="B46" s="3">
        <v>999</v>
      </c>
      <c r="C46" s="3" t="str">
        <f>IF(B46&lt;=Price_Q1,"Low Price",IF(B46&lt;=Price_Q3,"Medium Price","High Price"))</f>
        <v>Medium Price</v>
      </c>
      <c r="D46" s="3">
        <v>2000</v>
      </c>
      <c r="E46" s="3">
        <f t="shared" si="0"/>
        <v>1001</v>
      </c>
      <c r="F46" s="1">
        <v>0.5</v>
      </c>
      <c r="G46" s="1" t="str">
        <f t="shared" si="1"/>
        <v>High Discount</v>
      </c>
      <c r="H46" s="4" t="s">
        <v>324</v>
      </c>
      <c r="I46" s="5" t="s">
        <v>324</v>
      </c>
      <c r="J46" t="s">
        <v>324</v>
      </c>
    </row>
    <row r="47" spans="1:10" x14ac:dyDescent="0.25">
      <c r="A47" t="s">
        <v>145</v>
      </c>
      <c r="B47" s="3">
        <v>1190</v>
      </c>
      <c r="C47" s="3" t="str">
        <f>IF(B47&lt;=Price_Q1,"Low Price",IF(B47&lt;=Price_Q3,"Medium Price","High Price"))</f>
        <v>Medium Price</v>
      </c>
      <c r="D47" s="3">
        <v>1785</v>
      </c>
      <c r="E47" s="3">
        <f t="shared" si="0"/>
        <v>595</v>
      </c>
      <c r="F47" s="1">
        <v>0.33</v>
      </c>
      <c r="G47" s="1" t="str">
        <f t="shared" si="1"/>
        <v>Medium Discount</v>
      </c>
      <c r="H47" s="4" t="s">
        <v>324</v>
      </c>
      <c r="I47" s="5" t="s">
        <v>324</v>
      </c>
      <c r="J47" t="s">
        <v>324</v>
      </c>
    </row>
    <row r="48" spans="1:10" x14ac:dyDescent="0.25">
      <c r="A48" t="s">
        <v>148</v>
      </c>
      <c r="B48" s="3">
        <v>671</v>
      </c>
      <c r="C48" s="3" t="str">
        <f>IF(B48&lt;=Price_Q1,"Low Price",IF(B48&lt;=Price_Q3,"Medium Price","High Price"))</f>
        <v>Medium Price</v>
      </c>
      <c r="D48" s="3">
        <v>1316</v>
      </c>
      <c r="E48" s="3">
        <f t="shared" si="0"/>
        <v>645</v>
      </c>
      <c r="F48" s="1">
        <v>0.49</v>
      </c>
      <c r="G48" s="1" t="str">
        <f t="shared" si="1"/>
        <v>High Discount</v>
      </c>
      <c r="H48" s="4" t="s">
        <v>324</v>
      </c>
      <c r="I48" s="5" t="s">
        <v>324</v>
      </c>
      <c r="J48" t="s">
        <v>324</v>
      </c>
    </row>
    <row r="49" spans="1:10" x14ac:dyDescent="0.25">
      <c r="A49" t="s">
        <v>151</v>
      </c>
      <c r="B49" s="3">
        <v>1200</v>
      </c>
      <c r="C49" s="3" t="str">
        <f>IF(B49&lt;=Price_Q1,"Low Price",IF(B49&lt;=Price_Q3,"Medium Price","High Price"))</f>
        <v>Medium Price</v>
      </c>
      <c r="D49" s="3">
        <v>1950</v>
      </c>
      <c r="E49" s="3">
        <f t="shared" si="0"/>
        <v>750</v>
      </c>
      <c r="F49" s="1">
        <v>0.38</v>
      </c>
      <c r="G49" s="1" t="str">
        <f t="shared" si="1"/>
        <v>Medium Discount</v>
      </c>
      <c r="H49" s="4" t="s">
        <v>324</v>
      </c>
      <c r="I49" s="5" t="s">
        <v>324</v>
      </c>
      <c r="J49" t="s">
        <v>324</v>
      </c>
    </row>
    <row r="50" spans="1:10" x14ac:dyDescent="0.25">
      <c r="A50" t="s">
        <v>154</v>
      </c>
      <c r="B50" s="3">
        <v>199</v>
      </c>
      <c r="C50" s="3" t="str">
        <f>IF(B50&lt;=Price_Q1,"Low Price",IF(B50&lt;=Price_Q3,"Medium Price","High Price"))</f>
        <v>Low Price</v>
      </c>
      <c r="D50" s="3">
        <v>504</v>
      </c>
      <c r="E50" s="3">
        <f t="shared" si="0"/>
        <v>305</v>
      </c>
      <c r="F50" s="1">
        <v>0.61</v>
      </c>
      <c r="G50" s="1" t="str">
        <f t="shared" si="1"/>
        <v>High Discount</v>
      </c>
      <c r="H50" s="4" t="s">
        <v>324</v>
      </c>
      <c r="I50" s="5" t="s">
        <v>324</v>
      </c>
      <c r="J50" t="s">
        <v>324</v>
      </c>
    </row>
    <row r="51" spans="1:10" x14ac:dyDescent="0.25">
      <c r="A51" t="s">
        <v>157</v>
      </c>
      <c r="B51" s="3">
        <v>299</v>
      </c>
      <c r="C51" s="3" t="str">
        <f>IF(B51&lt;=Price_Q1,"Low Price",IF(B51&lt;=Price_Q3,"Medium Price","High Price"))</f>
        <v>Low Price</v>
      </c>
      <c r="D51" s="3">
        <v>600</v>
      </c>
      <c r="E51" s="3">
        <f t="shared" si="0"/>
        <v>301</v>
      </c>
      <c r="F51" s="1">
        <v>0.5</v>
      </c>
      <c r="G51" s="1" t="str">
        <f t="shared" si="1"/>
        <v>High Discount</v>
      </c>
      <c r="H51" s="4" t="s">
        <v>324</v>
      </c>
      <c r="I51" s="5" t="s">
        <v>324</v>
      </c>
      <c r="J51" t="s">
        <v>324</v>
      </c>
    </row>
    <row r="52" spans="1:10" x14ac:dyDescent="0.25">
      <c r="A52" t="s">
        <v>160</v>
      </c>
      <c r="B52" s="3">
        <v>1660</v>
      </c>
      <c r="C52" s="3" t="str">
        <f>IF(B52&lt;=Price_Q1,"Low Price",IF(B52&lt;=Price_Q3,"Medium Price","High Price"))</f>
        <v>Medium Price</v>
      </c>
      <c r="D52" s="3">
        <v>1699</v>
      </c>
      <c r="E52" s="3">
        <f t="shared" si="0"/>
        <v>39</v>
      </c>
      <c r="F52" s="1">
        <v>0.02</v>
      </c>
      <c r="G52" s="1" t="str">
        <f t="shared" si="1"/>
        <v>Low Discount</v>
      </c>
      <c r="H52" s="4" t="s">
        <v>324</v>
      </c>
      <c r="I52" s="5" t="s">
        <v>324</v>
      </c>
      <c r="J52" t="s">
        <v>324</v>
      </c>
    </row>
    <row r="53" spans="1:10" x14ac:dyDescent="0.25">
      <c r="A53" t="s">
        <v>163</v>
      </c>
      <c r="B53" s="3">
        <v>299</v>
      </c>
      <c r="C53" s="3" t="str">
        <f>IF(B53&lt;=Price_Q1,"Low Price",IF(B53&lt;=Price_Q3,"Medium Price","High Price"))</f>
        <v>Low Price</v>
      </c>
      <c r="D53" s="3">
        <v>384</v>
      </c>
      <c r="E53" s="3">
        <f t="shared" si="0"/>
        <v>85</v>
      </c>
      <c r="F53" s="1">
        <v>0.22</v>
      </c>
      <c r="G53" s="1" t="str">
        <f t="shared" si="1"/>
        <v>Medium Discount</v>
      </c>
      <c r="H53" s="4" t="s">
        <v>324</v>
      </c>
      <c r="I53" s="5" t="s">
        <v>324</v>
      </c>
      <c r="J53" t="s">
        <v>324</v>
      </c>
    </row>
    <row r="54" spans="1:10" x14ac:dyDescent="0.25">
      <c r="A54" t="s">
        <v>165</v>
      </c>
      <c r="B54" s="3">
        <v>1459</v>
      </c>
      <c r="C54" s="3" t="str">
        <f>IF(B54&lt;=Price_Q1,"Low Price",IF(B54&lt;=Price_Q3,"Medium Price","High Price"))</f>
        <v>Medium Price</v>
      </c>
      <c r="D54" s="3">
        <v>1499</v>
      </c>
      <c r="E54" s="3">
        <f t="shared" si="0"/>
        <v>40</v>
      </c>
      <c r="F54" s="1">
        <v>0.03</v>
      </c>
      <c r="G54" s="1" t="str">
        <f t="shared" si="1"/>
        <v>Low Discount</v>
      </c>
      <c r="H54" s="4" t="s">
        <v>324</v>
      </c>
      <c r="I54" s="5" t="s">
        <v>324</v>
      </c>
      <c r="J54" t="s">
        <v>324</v>
      </c>
    </row>
    <row r="55" spans="1:10" x14ac:dyDescent="0.25">
      <c r="A55" t="s">
        <v>168</v>
      </c>
      <c r="B55" s="3">
        <v>799</v>
      </c>
      <c r="C55" s="3" t="str">
        <f>IF(B55&lt;=Price_Q1,"Low Price",IF(B55&lt;=Price_Q3,"Medium Price","High Price"))</f>
        <v>Medium Price</v>
      </c>
      <c r="D55" s="3">
        <v>1343</v>
      </c>
      <c r="E55" s="3">
        <f t="shared" si="0"/>
        <v>544</v>
      </c>
      <c r="F55" s="1">
        <v>0.41</v>
      </c>
      <c r="G55" s="1" t="str">
        <f t="shared" si="1"/>
        <v>High Discount</v>
      </c>
      <c r="H55" s="4" t="s">
        <v>324</v>
      </c>
      <c r="I55" s="5" t="s">
        <v>324</v>
      </c>
      <c r="J55" t="s">
        <v>324</v>
      </c>
    </row>
    <row r="56" spans="1:10" x14ac:dyDescent="0.25">
      <c r="A56" t="s">
        <v>170</v>
      </c>
      <c r="B56" s="3">
        <v>499</v>
      </c>
      <c r="C56" s="3" t="str">
        <f>IF(B56&lt;=Price_Q1,"Low Price",IF(B56&lt;=Price_Q3,"Medium Price","High Price"))</f>
        <v>Medium Price</v>
      </c>
      <c r="D56" s="3">
        <v>900</v>
      </c>
      <c r="E56" s="3">
        <f t="shared" si="0"/>
        <v>401</v>
      </c>
      <c r="F56" s="1">
        <v>0.45</v>
      </c>
      <c r="G56" s="1" t="str">
        <f t="shared" si="1"/>
        <v>High Discount</v>
      </c>
      <c r="H56" s="4" t="s">
        <v>324</v>
      </c>
      <c r="I56" s="5" t="s">
        <v>324</v>
      </c>
      <c r="J56" t="s">
        <v>324</v>
      </c>
    </row>
    <row r="57" spans="1:10" x14ac:dyDescent="0.25">
      <c r="A57" t="s">
        <v>173</v>
      </c>
      <c r="B57" s="3">
        <v>699</v>
      </c>
      <c r="C57" s="3" t="str">
        <f>IF(B57&lt;=Price_Q1,"Low Price",IF(B57&lt;=Price_Q3,"Medium Price","High Price"))</f>
        <v>Medium Price</v>
      </c>
      <c r="D57" s="3">
        <v>1343</v>
      </c>
      <c r="E57" s="3">
        <f t="shared" si="0"/>
        <v>644</v>
      </c>
      <c r="F57" s="1">
        <v>0.48</v>
      </c>
      <c r="G57" s="1" t="str">
        <f t="shared" si="1"/>
        <v>High Discount</v>
      </c>
      <c r="H57" s="4" t="s">
        <v>324</v>
      </c>
      <c r="I57" s="5" t="s">
        <v>324</v>
      </c>
      <c r="J57" t="s">
        <v>324</v>
      </c>
    </row>
    <row r="58" spans="1:10" x14ac:dyDescent="0.25">
      <c r="A58" t="s">
        <v>175</v>
      </c>
      <c r="B58" s="3">
        <v>799</v>
      </c>
      <c r="C58" s="3" t="str">
        <f>IF(B58&lt;=Price_Q1,"Low Price",IF(B58&lt;=Price_Q3,"Medium Price","High Price"))</f>
        <v>Medium Price</v>
      </c>
      <c r="D58" s="3">
        <v>1567</v>
      </c>
      <c r="E58" s="3">
        <f t="shared" si="0"/>
        <v>768</v>
      </c>
      <c r="F58" s="1">
        <v>0.49</v>
      </c>
      <c r="G58" s="1" t="str">
        <f t="shared" si="1"/>
        <v>High Discount</v>
      </c>
      <c r="H58" s="4" t="s">
        <v>324</v>
      </c>
      <c r="I58" s="5" t="s">
        <v>324</v>
      </c>
      <c r="J58" t="s">
        <v>324</v>
      </c>
    </row>
    <row r="59" spans="1:10" x14ac:dyDescent="0.25">
      <c r="A59" t="s">
        <v>177</v>
      </c>
      <c r="B59" s="3">
        <v>2799</v>
      </c>
      <c r="C59" s="3" t="str">
        <f>IF(B59&lt;=Price_Q1,"Low Price",IF(B59&lt;=Price_Q3,"Medium Price","High Price"))</f>
        <v>High Price</v>
      </c>
      <c r="D59" s="3">
        <v>3810</v>
      </c>
      <c r="E59" s="3">
        <f t="shared" si="0"/>
        <v>1011</v>
      </c>
      <c r="F59" s="1">
        <v>0.27</v>
      </c>
      <c r="G59" s="1" t="str">
        <f t="shared" si="1"/>
        <v>Medium Discount</v>
      </c>
      <c r="H59" s="4" t="s">
        <v>324</v>
      </c>
      <c r="I59" s="5" t="s">
        <v>324</v>
      </c>
      <c r="J59" t="s">
        <v>324</v>
      </c>
    </row>
    <row r="60" spans="1:10" x14ac:dyDescent="0.25">
      <c r="A60" t="s">
        <v>170</v>
      </c>
      <c r="B60" s="3">
        <v>399</v>
      </c>
      <c r="C60" s="3" t="str">
        <f>IF(B60&lt;=Price_Q1,"Low Price",IF(B60&lt;=Price_Q3,"Medium Price","High Price"))</f>
        <v>Low Price</v>
      </c>
      <c r="D60" s="3">
        <v>896</v>
      </c>
      <c r="E60" s="3">
        <f t="shared" si="0"/>
        <v>497</v>
      </c>
      <c r="F60" s="1">
        <v>0.55000000000000004</v>
      </c>
      <c r="G60" s="1" t="str">
        <f t="shared" si="1"/>
        <v>High Discount</v>
      </c>
      <c r="H60" s="4" t="s">
        <v>324</v>
      </c>
      <c r="I60" s="5" t="s">
        <v>324</v>
      </c>
      <c r="J60" t="s">
        <v>324</v>
      </c>
    </row>
    <row r="61" spans="1:10" x14ac:dyDescent="0.25">
      <c r="A61" t="s">
        <v>182</v>
      </c>
      <c r="B61" s="3">
        <v>2170</v>
      </c>
      <c r="C61" s="3" t="str">
        <f>IF(B61&lt;=Price_Q1,"Low Price",IF(B61&lt;=Price_Q3,"Medium Price","High Price"))</f>
        <v>High Price</v>
      </c>
      <c r="D61" s="3">
        <v>2500</v>
      </c>
      <c r="E61" s="3">
        <f t="shared" si="0"/>
        <v>330</v>
      </c>
      <c r="F61" s="1">
        <v>0.13</v>
      </c>
      <c r="G61" s="1" t="str">
        <f t="shared" si="1"/>
        <v>Low Discount</v>
      </c>
      <c r="H61" s="4">
        <v>6</v>
      </c>
      <c r="I61" s="5">
        <v>2.5</v>
      </c>
      <c r="J61" t="str">
        <f>IF(OR(H61="",I61=""),"",IF(I61&lt;3,"Poor",IF(I61&lt;=4,"Average","Excellent")))</f>
        <v>Poor</v>
      </c>
    </row>
    <row r="62" spans="1:10" x14ac:dyDescent="0.25">
      <c r="A62" t="s">
        <v>186</v>
      </c>
      <c r="B62" s="3">
        <v>458</v>
      </c>
      <c r="C62" s="3" t="str">
        <f>IF(B62&lt;=Price_Q1,"Low Price",IF(B62&lt;=Price_Q3,"Medium Price","High Price"))</f>
        <v>Low Price</v>
      </c>
      <c r="D62" s="3">
        <v>986</v>
      </c>
      <c r="E62" s="3">
        <f t="shared" si="0"/>
        <v>528</v>
      </c>
      <c r="F62" s="1">
        <v>0.54</v>
      </c>
      <c r="G62" s="1" t="str">
        <f t="shared" si="1"/>
        <v>High Discount</v>
      </c>
      <c r="H62" s="4">
        <v>10</v>
      </c>
      <c r="I62" s="5">
        <v>3</v>
      </c>
      <c r="J62" t="str">
        <f>IF(OR(H62="",I62=""),"",IF(I62&lt;3,"Poor",IF(I62&lt;=4,"Average","Excellent")))</f>
        <v>Average</v>
      </c>
    </row>
    <row r="63" spans="1:10" x14ac:dyDescent="0.25">
      <c r="A63" t="s">
        <v>190</v>
      </c>
      <c r="B63" s="3">
        <v>2115</v>
      </c>
      <c r="C63" s="3" t="str">
        <f>IF(B63&lt;=Price_Q1,"Low Price",IF(B63&lt;=Price_Q3,"Medium Price","High Price"))</f>
        <v>High Price</v>
      </c>
      <c r="D63" s="3">
        <v>4700</v>
      </c>
      <c r="E63" s="3">
        <f t="shared" si="0"/>
        <v>2585</v>
      </c>
      <c r="F63" s="1">
        <v>0.55000000000000004</v>
      </c>
      <c r="G63" s="1" t="str">
        <f t="shared" si="1"/>
        <v>High Discount</v>
      </c>
      <c r="H63" s="4">
        <v>13</v>
      </c>
      <c r="I63" s="5">
        <v>2.1</v>
      </c>
      <c r="J63" t="str">
        <f>IF(OR(H63="",I63=""),"",IF(I63&lt;3,"Poor",IF(I63&lt;=4,"Average","Excellent")))</f>
        <v>Poor</v>
      </c>
    </row>
    <row r="64" spans="1:10" x14ac:dyDescent="0.25">
      <c r="A64" t="s">
        <v>194</v>
      </c>
      <c r="B64" s="3">
        <v>445</v>
      </c>
      <c r="C64" s="3" t="str">
        <f>IF(B64&lt;=Price_Q1,"Low Price",IF(B64&lt;=Price_Q3,"Medium Price","High Price"))</f>
        <v>Low Price</v>
      </c>
      <c r="D64" s="3">
        <v>873</v>
      </c>
      <c r="E64" s="3">
        <f t="shared" si="0"/>
        <v>428</v>
      </c>
      <c r="F64" s="1">
        <v>0.49</v>
      </c>
      <c r="G64" s="1" t="str">
        <f t="shared" si="1"/>
        <v>High Discount</v>
      </c>
      <c r="H64" s="4">
        <v>69</v>
      </c>
      <c r="I64" s="5">
        <v>2.8</v>
      </c>
      <c r="J64" t="str">
        <f>IF(OR(H64="",I64=""),"",IF(I64&lt;3,"Poor",IF(I64&lt;=4,"Average","Excellent")))</f>
        <v>Poor</v>
      </c>
    </row>
    <row r="65" spans="1:10" x14ac:dyDescent="0.25">
      <c r="A65" t="s">
        <v>329</v>
      </c>
      <c r="B65" s="3">
        <v>325</v>
      </c>
      <c r="C65" s="3" t="str">
        <f>IF(B65&lt;=Price_Q1,"Low Price",IF(B65&lt;=Price_Q3,"Medium Price","High Price"))</f>
        <v>Low Price</v>
      </c>
      <c r="D65" s="3">
        <v>680</v>
      </c>
      <c r="E65" s="3">
        <f t="shared" si="0"/>
        <v>355</v>
      </c>
      <c r="F65" s="1">
        <v>0.52</v>
      </c>
      <c r="G65" s="1" t="str">
        <f t="shared" si="1"/>
        <v>High Discount</v>
      </c>
      <c r="H65" s="4">
        <v>15</v>
      </c>
      <c r="I65" s="5">
        <v>2.7</v>
      </c>
      <c r="J65" t="str">
        <f>IF(OR(H65="",I65=""),"",IF(I65&lt;3,"Poor",IF(I65&lt;=4,"Average","Excellent")))</f>
        <v>Poor</v>
      </c>
    </row>
    <row r="66" spans="1:10" x14ac:dyDescent="0.25">
      <c r="A66" t="s">
        <v>202</v>
      </c>
      <c r="B66" s="3">
        <v>1220</v>
      </c>
      <c r="C66" s="3" t="str">
        <f>IF(B66&lt;=Price_Q1,"Low Price",IF(B66&lt;=Price_Q3,"Medium Price","High Price"))</f>
        <v>Medium Price</v>
      </c>
      <c r="D66" s="3">
        <v>1555</v>
      </c>
      <c r="E66" s="3">
        <f t="shared" si="0"/>
        <v>335</v>
      </c>
      <c r="F66" s="1">
        <v>0.22</v>
      </c>
      <c r="G66" s="1" t="str">
        <f t="shared" si="1"/>
        <v>Medium Discount</v>
      </c>
      <c r="H66" s="4">
        <v>16</v>
      </c>
      <c r="I66" s="5">
        <v>2.9</v>
      </c>
      <c r="J66" t="str">
        <f>IF(OR(H66="",I66=""),"",IF(I66&lt;3,"Poor",IF(I66&lt;=4,"Average","Excellent")))</f>
        <v>Poor</v>
      </c>
    </row>
    <row r="67" spans="1:10" x14ac:dyDescent="0.25">
      <c r="A67" t="s">
        <v>206</v>
      </c>
      <c r="B67" s="3">
        <v>990</v>
      </c>
      <c r="C67" s="3" t="str">
        <f>IF(B67&lt;=Price_Q1,"Low Price",IF(B67&lt;=Price_Q3,"Medium Price","High Price"))</f>
        <v>Medium Price</v>
      </c>
      <c r="D67" s="3">
        <v>1814</v>
      </c>
      <c r="E67" s="3">
        <f t="shared" ref="E67:E113" si="2">(D67-B67)</f>
        <v>824</v>
      </c>
      <c r="F67" s="1">
        <v>0.45</v>
      </c>
      <c r="G67" s="1" t="str">
        <f t="shared" ref="G67:G113" si="3">IF(F67&lt;20%,"Low Discount",IF(F67&lt;=40%,"Medium Discount", "High Discount"))</f>
        <v>High Discount</v>
      </c>
      <c r="H67" s="4">
        <v>6</v>
      </c>
      <c r="I67" s="5">
        <v>2.2000000000000002</v>
      </c>
      <c r="J67" t="str">
        <f>IF(OR(H67="",I67=""),"",IF(I67&lt;3,"Poor",IF(I67&lt;=4,"Average","Excellent")))</f>
        <v>Poor</v>
      </c>
    </row>
    <row r="68" spans="1:10" x14ac:dyDescent="0.25">
      <c r="A68" t="s">
        <v>209</v>
      </c>
      <c r="B68" s="3">
        <v>1000</v>
      </c>
      <c r="C68" s="3" t="str">
        <f>IF(B68&lt;=Price_Q1,"Low Price",IF(B68&lt;=Price_Q3,"Medium Price","High Price"))</f>
        <v>Medium Price</v>
      </c>
      <c r="D68" s="3">
        <v>2000</v>
      </c>
      <c r="E68" s="3">
        <f t="shared" si="2"/>
        <v>1000</v>
      </c>
      <c r="F68" s="1">
        <v>0.5</v>
      </c>
      <c r="G68" s="1" t="str">
        <f t="shared" si="3"/>
        <v>High Discount</v>
      </c>
      <c r="H68" s="4">
        <v>7</v>
      </c>
      <c r="I68" s="5">
        <v>2.2999999999999998</v>
      </c>
      <c r="J68" t="str">
        <f>IF(OR(H68="",I68=""),"",IF(I68&lt;3,"Poor",IF(I68&lt;=4,"Average","Excellent")))</f>
        <v>Poor</v>
      </c>
    </row>
    <row r="69" spans="1:10" x14ac:dyDescent="0.25">
      <c r="A69" t="s">
        <v>212</v>
      </c>
      <c r="B69" s="3">
        <v>3750</v>
      </c>
      <c r="C69" s="3" t="str">
        <f>IF(B69&lt;=Price_Q1,"Low Price",IF(B69&lt;=Price_Q3,"Medium Price","High Price"))</f>
        <v>High Price</v>
      </c>
      <c r="D69" s="3">
        <v>6143</v>
      </c>
      <c r="E69" s="3">
        <f t="shared" si="2"/>
        <v>2393</v>
      </c>
      <c r="F69" s="1">
        <v>0.39</v>
      </c>
      <c r="G69" s="1" t="str">
        <f t="shared" si="3"/>
        <v>Medium Discount</v>
      </c>
      <c r="H69" s="4">
        <v>5</v>
      </c>
      <c r="I69" s="5">
        <v>3</v>
      </c>
      <c r="J69" t="str">
        <f>IF(OR(H69="",I69=""),"",IF(I69&lt;3,"Poor",IF(I69&lt;=4,"Average","Excellent")))</f>
        <v>Average</v>
      </c>
    </row>
    <row r="70" spans="1:10" x14ac:dyDescent="0.25">
      <c r="A70" t="s">
        <v>215</v>
      </c>
      <c r="B70" s="3">
        <v>382</v>
      </c>
      <c r="C70" s="3" t="str">
        <f>IF(B70&lt;=Price_Q1,"Low Price",IF(B70&lt;=Price_Q3,"Medium Price","High Price"))</f>
        <v>Low Price</v>
      </c>
      <c r="D70" s="3">
        <v>700</v>
      </c>
      <c r="E70" s="3">
        <f t="shared" si="2"/>
        <v>318</v>
      </c>
      <c r="F70" s="1">
        <v>0.45</v>
      </c>
      <c r="G70" s="1" t="str">
        <f t="shared" si="3"/>
        <v>High Discount</v>
      </c>
      <c r="H70" s="4">
        <v>17</v>
      </c>
      <c r="I70" s="5">
        <v>2.6</v>
      </c>
      <c r="J70" t="str">
        <f>IF(OR(H70="",I70=""),"",IF(I70&lt;3,"Poor",IF(I70&lt;=4,"Average","Excellent")))</f>
        <v>Poor</v>
      </c>
    </row>
    <row r="71" spans="1:10" x14ac:dyDescent="0.25">
      <c r="A71" t="s">
        <v>218</v>
      </c>
      <c r="B71" s="3">
        <v>2300</v>
      </c>
      <c r="C71" s="3" t="str">
        <f>IF(B71&lt;=Price_Q1,"Low Price",IF(B71&lt;=Price_Q3,"Medium Price","High Price"))</f>
        <v>High Price</v>
      </c>
      <c r="D71" s="3">
        <v>3240</v>
      </c>
      <c r="E71" s="3">
        <f t="shared" si="2"/>
        <v>940</v>
      </c>
      <c r="F71" s="1">
        <v>0.28999999999999998</v>
      </c>
      <c r="G71" s="1" t="str">
        <f t="shared" si="3"/>
        <v>Medium Discount</v>
      </c>
      <c r="H71" s="4">
        <v>5</v>
      </c>
      <c r="I71" s="5">
        <v>3</v>
      </c>
      <c r="J71" t="str">
        <f>IF(OR(H71="",I71=""),"",IF(I71&lt;3,"Poor",IF(I71&lt;=4,"Average","Excellent")))</f>
        <v>Average</v>
      </c>
    </row>
    <row r="72" spans="1:10" x14ac:dyDescent="0.25">
      <c r="A72" t="s">
        <v>221</v>
      </c>
      <c r="B72" s="3">
        <v>345</v>
      </c>
      <c r="C72" s="3" t="str">
        <f>IF(B72&lt;=Price_Q1,"Low Price",IF(B72&lt;=Price_Q3,"Medium Price","High Price"))</f>
        <v>Low Price</v>
      </c>
      <c r="D72" s="3">
        <v>602</v>
      </c>
      <c r="E72" s="3">
        <f t="shared" si="2"/>
        <v>257</v>
      </c>
      <c r="F72" s="1">
        <v>0.43</v>
      </c>
      <c r="G72" s="1" t="str">
        <f t="shared" si="3"/>
        <v>High Discount</v>
      </c>
      <c r="H72" s="4">
        <v>6</v>
      </c>
      <c r="I72" s="5">
        <v>2.2999999999999998</v>
      </c>
      <c r="J72" t="str">
        <f>IF(OR(H72="",I72=""),"",IF(I72&lt;3,"Poor",IF(I72&lt;=4,"Average","Excellent")))</f>
        <v>Poor</v>
      </c>
    </row>
    <row r="73" spans="1:10" x14ac:dyDescent="0.25">
      <c r="A73" t="s">
        <v>224</v>
      </c>
      <c r="B73" s="3">
        <v>509</v>
      </c>
      <c r="C73" s="3" t="str">
        <f>IF(B73&lt;=Price_Q1,"Low Price",IF(B73&lt;=Price_Q3,"Medium Price","High Price"))</f>
        <v>Medium Price</v>
      </c>
      <c r="D73" s="3">
        <v>899</v>
      </c>
      <c r="E73" s="3">
        <f t="shared" si="2"/>
        <v>390</v>
      </c>
      <c r="F73" s="1">
        <v>0.43</v>
      </c>
      <c r="G73" s="1" t="str">
        <f t="shared" si="3"/>
        <v>High Discount</v>
      </c>
      <c r="H73" s="4">
        <v>5</v>
      </c>
      <c r="I73" s="5">
        <v>3</v>
      </c>
      <c r="J73" t="str">
        <f>IF(OR(H73="",I73=""),"",IF(I73&lt;3,"Poor",IF(I73&lt;=4,"Average","Excellent")))</f>
        <v>Average</v>
      </c>
    </row>
    <row r="74" spans="1:10" x14ac:dyDescent="0.25">
      <c r="A74" t="s">
        <v>227</v>
      </c>
      <c r="B74" s="3">
        <v>968</v>
      </c>
      <c r="C74" s="3" t="str">
        <f>IF(B74&lt;=Price_Q1,"Low Price",IF(B74&lt;=Price_Q3,"Medium Price","High Price"))</f>
        <v>Medium Price</v>
      </c>
      <c r="D74" s="3">
        <v>1814</v>
      </c>
      <c r="E74" s="3">
        <f t="shared" si="2"/>
        <v>846</v>
      </c>
      <c r="F74" s="1">
        <v>0.47</v>
      </c>
      <c r="G74" s="1" t="str">
        <f t="shared" si="3"/>
        <v>High Discount</v>
      </c>
      <c r="H74" s="4">
        <v>6</v>
      </c>
      <c r="I74" s="5">
        <v>2.2000000000000002</v>
      </c>
      <c r="J74" t="str">
        <f>IF(OR(H74="",I74=""),"",IF(I74&lt;3,"Poor",IF(I74&lt;=4,"Average","Excellent")))</f>
        <v>Poor</v>
      </c>
    </row>
    <row r="75" spans="1:10" x14ac:dyDescent="0.25">
      <c r="A75" t="s">
        <v>229</v>
      </c>
      <c r="B75" s="3">
        <v>1570</v>
      </c>
      <c r="C75" s="3" t="str">
        <f>IF(B75&lt;=Price_Q1,"Low Price",IF(B75&lt;=Price_Q3,"Medium Price","High Price"))</f>
        <v>Medium Price</v>
      </c>
      <c r="D75" s="3">
        <v>2988</v>
      </c>
      <c r="E75" s="3">
        <f t="shared" si="2"/>
        <v>1418</v>
      </c>
      <c r="F75" s="1">
        <v>0.47</v>
      </c>
      <c r="G75" s="1" t="str">
        <f t="shared" si="3"/>
        <v>High Discount</v>
      </c>
      <c r="H75" s="4">
        <v>7</v>
      </c>
      <c r="I75" s="5">
        <v>2.1</v>
      </c>
      <c r="J75" t="str">
        <f>IF(OR(H75="",I75=""),"",IF(I75&lt;3,"Poor",IF(I75&lt;=4,"Average","Excellent")))</f>
        <v>Poor</v>
      </c>
    </row>
    <row r="76" spans="1:10" x14ac:dyDescent="0.25">
      <c r="A76" t="s">
        <v>232</v>
      </c>
      <c r="B76" s="3">
        <v>790</v>
      </c>
      <c r="C76" s="3" t="str">
        <f>IF(B76&lt;=Price_Q1,"Low Price",IF(B76&lt;=Price_Q3,"Medium Price","High Price"))</f>
        <v>Medium Price</v>
      </c>
      <c r="D76" s="3">
        <v>1485</v>
      </c>
      <c r="E76" s="3">
        <f t="shared" si="2"/>
        <v>695</v>
      </c>
      <c r="F76" s="1">
        <v>0.47</v>
      </c>
      <c r="G76" s="1" t="str">
        <f t="shared" si="3"/>
        <v>High Discount</v>
      </c>
      <c r="H76" s="4" t="s">
        <v>324</v>
      </c>
      <c r="I76" s="5" t="s">
        <v>324</v>
      </c>
      <c r="J76" t="s">
        <v>324</v>
      </c>
    </row>
    <row r="77" spans="1:10" x14ac:dyDescent="0.25">
      <c r="A77" t="s">
        <v>235</v>
      </c>
      <c r="B77" s="3">
        <v>690</v>
      </c>
      <c r="C77" s="3" t="str">
        <f>IF(B77&lt;=Price_Q1,"Low Price",IF(B77&lt;=Price_Q3,"Medium Price","High Price"))</f>
        <v>Medium Price</v>
      </c>
      <c r="D77" s="3">
        <v>1200</v>
      </c>
      <c r="E77" s="3">
        <f t="shared" si="2"/>
        <v>510</v>
      </c>
      <c r="F77" s="1">
        <v>0.43</v>
      </c>
      <c r="G77" s="1" t="str">
        <f t="shared" si="3"/>
        <v>High Discount</v>
      </c>
      <c r="H77" s="4" t="s">
        <v>324</v>
      </c>
      <c r="I77" s="5" t="s">
        <v>324</v>
      </c>
      <c r="J77" t="s">
        <v>324</v>
      </c>
    </row>
    <row r="78" spans="1:10" x14ac:dyDescent="0.25">
      <c r="A78" t="s">
        <v>237</v>
      </c>
      <c r="B78" s="3">
        <v>1732</v>
      </c>
      <c r="C78" s="3" t="str">
        <f>IF(B78&lt;=Price_Q1,"Low Price",IF(B78&lt;=Price_Q3,"Medium Price","High Price"))</f>
        <v>High Price</v>
      </c>
      <c r="D78" s="3">
        <v>1799</v>
      </c>
      <c r="E78" s="3">
        <f t="shared" si="2"/>
        <v>67</v>
      </c>
      <c r="F78" s="1">
        <v>0.04</v>
      </c>
      <c r="G78" s="1" t="str">
        <f t="shared" si="3"/>
        <v>Low Discount</v>
      </c>
      <c r="H78" s="4" t="s">
        <v>324</v>
      </c>
      <c r="I78" s="5" t="s">
        <v>324</v>
      </c>
      <c r="J78" t="s">
        <v>324</v>
      </c>
    </row>
    <row r="79" spans="1:10" x14ac:dyDescent="0.25">
      <c r="A79" t="s">
        <v>240</v>
      </c>
      <c r="B79" s="3">
        <v>230</v>
      </c>
      <c r="C79" s="3" t="str">
        <f>IF(B79&lt;=Price_Q1,"Low Price",IF(B79&lt;=Price_Q3,"Medium Price","High Price"))</f>
        <v>Low Price</v>
      </c>
      <c r="D79" s="3">
        <v>450</v>
      </c>
      <c r="E79" s="3">
        <f t="shared" si="2"/>
        <v>220</v>
      </c>
      <c r="F79" s="1">
        <v>0.49</v>
      </c>
      <c r="G79" s="1" t="str">
        <f t="shared" si="3"/>
        <v>High Discount</v>
      </c>
      <c r="H79" s="4" t="s">
        <v>324</v>
      </c>
      <c r="I79" s="5" t="s">
        <v>324</v>
      </c>
      <c r="J79" t="s">
        <v>324</v>
      </c>
    </row>
    <row r="80" spans="1:10" x14ac:dyDescent="0.25">
      <c r="A80" t="s">
        <v>243</v>
      </c>
      <c r="B80" s="3">
        <v>1189</v>
      </c>
      <c r="C80" s="3" t="str">
        <f>IF(B80&lt;=Price_Q1,"Low Price",IF(B80&lt;=Price_Q3,"Medium Price","High Price"))</f>
        <v>Medium Price</v>
      </c>
      <c r="D80" s="3">
        <v>2199</v>
      </c>
      <c r="E80" s="3">
        <f t="shared" si="2"/>
        <v>1010</v>
      </c>
      <c r="F80" s="1">
        <v>0.46</v>
      </c>
      <c r="G80" s="1" t="str">
        <f t="shared" si="3"/>
        <v>High Discount</v>
      </c>
      <c r="H80" s="4">
        <v>1</v>
      </c>
      <c r="I80" s="5">
        <v>3</v>
      </c>
      <c r="J80" t="str">
        <f>IF(OR(H80="",I80=""),"",IF(I80&lt;3,"Poor",IF(I80&lt;=4,"Average","Excellent")))</f>
        <v>Average</v>
      </c>
    </row>
    <row r="81" spans="1:10" x14ac:dyDescent="0.25">
      <c r="A81" t="s">
        <v>245</v>
      </c>
      <c r="B81" s="3">
        <v>979</v>
      </c>
      <c r="C81" s="3" t="str">
        <f>IF(B81&lt;=Price_Q1,"Low Price",IF(B81&lt;=Price_Q3,"Medium Price","High Price"))</f>
        <v>Medium Price</v>
      </c>
      <c r="D81" s="3">
        <v>1920</v>
      </c>
      <c r="E81" s="3">
        <f t="shared" si="2"/>
        <v>941</v>
      </c>
      <c r="F81" s="1">
        <v>0.49</v>
      </c>
      <c r="G81" s="1" t="str">
        <f t="shared" si="3"/>
        <v>High Discount</v>
      </c>
      <c r="H81" s="4">
        <v>1</v>
      </c>
      <c r="I81" s="5">
        <v>5</v>
      </c>
      <c r="J81" t="str">
        <f>IF(OR(H81="",I81=""),"",IF(I81&lt;3,"Poor",IF(I81&lt;=4,"Average","Excellent")))</f>
        <v>Excellent</v>
      </c>
    </row>
    <row r="82" spans="1:10" x14ac:dyDescent="0.25">
      <c r="A82" t="s">
        <v>248</v>
      </c>
      <c r="B82" s="3">
        <v>1460</v>
      </c>
      <c r="C82" s="3" t="str">
        <f>IF(B82&lt;=Price_Q1,"Low Price",IF(B82&lt;=Price_Q3,"Medium Price","High Price"))</f>
        <v>Medium Price</v>
      </c>
      <c r="D82" s="3">
        <v>2290</v>
      </c>
      <c r="E82" s="3">
        <f t="shared" si="2"/>
        <v>830</v>
      </c>
      <c r="F82" s="1">
        <v>0.36</v>
      </c>
      <c r="G82" s="1" t="str">
        <f t="shared" si="3"/>
        <v>Medium Discount</v>
      </c>
      <c r="H82" s="4" t="s">
        <v>324</v>
      </c>
      <c r="I82" s="5" t="s">
        <v>324</v>
      </c>
      <c r="J82" t="s">
        <v>324</v>
      </c>
    </row>
    <row r="83" spans="1:10" x14ac:dyDescent="0.25">
      <c r="A83" t="s">
        <v>251</v>
      </c>
      <c r="B83" s="3">
        <v>1666</v>
      </c>
      <c r="C83" s="3" t="str">
        <f>IF(B83&lt;=Price_Q1,"Low Price",IF(B83&lt;=Price_Q3,"Medium Price","High Price"))</f>
        <v>Medium Price</v>
      </c>
      <c r="D83" s="3">
        <v>1699</v>
      </c>
      <c r="E83" s="3">
        <f t="shared" si="2"/>
        <v>33</v>
      </c>
      <c r="F83" s="1">
        <v>0.02</v>
      </c>
      <c r="G83" s="1" t="str">
        <f t="shared" si="3"/>
        <v>Low Discount</v>
      </c>
      <c r="H83" s="4" t="s">
        <v>324</v>
      </c>
      <c r="I83" s="5" t="s">
        <v>324</v>
      </c>
      <c r="J83" t="s">
        <v>324</v>
      </c>
    </row>
    <row r="84" spans="1:10" x14ac:dyDescent="0.25">
      <c r="A84" t="s">
        <v>253</v>
      </c>
      <c r="B84" s="3">
        <v>330</v>
      </c>
      <c r="C84" s="3" t="str">
        <f>IF(B84&lt;=Price_Q1,"Low Price",IF(B84&lt;=Price_Q3,"Medium Price","High Price"))</f>
        <v>Low Price</v>
      </c>
      <c r="D84" s="3">
        <v>647</v>
      </c>
      <c r="E84" s="3">
        <f t="shared" si="2"/>
        <v>317</v>
      </c>
      <c r="F84" s="1">
        <v>0.49</v>
      </c>
      <c r="G84" s="1" t="str">
        <f t="shared" si="3"/>
        <v>High Discount</v>
      </c>
      <c r="H84" s="4">
        <v>1</v>
      </c>
      <c r="I84" s="5">
        <v>4</v>
      </c>
      <c r="J84" t="str">
        <f>IF(OR(H84="",I84=""),"",IF(I84&lt;3,"Poor",IF(I84&lt;=4,"Average","Excellent")))</f>
        <v>Average</v>
      </c>
    </row>
    <row r="85" spans="1:10" x14ac:dyDescent="0.25">
      <c r="A85" t="s">
        <v>154</v>
      </c>
      <c r="B85" s="3">
        <v>176</v>
      </c>
      <c r="C85" s="3" t="str">
        <f>IF(B85&lt;=Price_Q1,"Low Price",IF(B85&lt;=Price_Q3,"Medium Price","High Price"))</f>
        <v>Low Price</v>
      </c>
      <c r="D85" s="3">
        <v>345</v>
      </c>
      <c r="E85" s="3">
        <f t="shared" si="2"/>
        <v>169</v>
      </c>
      <c r="F85" s="1">
        <v>0.49</v>
      </c>
      <c r="G85" s="1" t="str">
        <f t="shared" si="3"/>
        <v>High Discount</v>
      </c>
      <c r="H85" s="4" t="s">
        <v>324</v>
      </c>
      <c r="I85" s="5" t="s">
        <v>324</v>
      </c>
      <c r="J85" t="s">
        <v>324</v>
      </c>
    </row>
    <row r="86" spans="1:10" x14ac:dyDescent="0.25">
      <c r="A86" t="s">
        <v>256</v>
      </c>
      <c r="B86" s="3">
        <v>1466</v>
      </c>
      <c r="C86" s="3" t="str">
        <f>IF(B86&lt;=Price_Q1,"Low Price",IF(B86&lt;=Price_Q3,"Medium Price","High Price"))</f>
        <v>Medium Price</v>
      </c>
      <c r="D86" s="3">
        <v>1699</v>
      </c>
      <c r="E86" s="3">
        <f t="shared" si="2"/>
        <v>233</v>
      </c>
      <c r="F86" s="1">
        <v>0.14000000000000001</v>
      </c>
      <c r="G86" s="1" t="str">
        <f t="shared" si="3"/>
        <v>Low Discount</v>
      </c>
      <c r="H86" s="4" t="s">
        <v>324</v>
      </c>
      <c r="I86" s="5" t="s">
        <v>324</v>
      </c>
      <c r="J86" t="s">
        <v>324</v>
      </c>
    </row>
    <row r="87" spans="1:10" x14ac:dyDescent="0.25">
      <c r="A87" t="s">
        <v>258</v>
      </c>
      <c r="B87" s="3">
        <v>274</v>
      </c>
      <c r="C87" s="3" t="str">
        <f>IF(B87&lt;=Price_Q1,"Low Price",IF(B87&lt;=Price_Q3,"Medium Price","High Price"))</f>
        <v>Low Price</v>
      </c>
      <c r="D87" s="3">
        <v>537</v>
      </c>
      <c r="E87" s="3">
        <f t="shared" si="2"/>
        <v>263</v>
      </c>
      <c r="F87" s="1">
        <v>0.49</v>
      </c>
      <c r="G87" s="1" t="str">
        <f t="shared" si="3"/>
        <v>High Discount</v>
      </c>
      <c r="H87" s="4" t="s">
        <v>324</v>
      </c>
      <c r="I87" s="5" t="s">
        <v>324</v>
      </c>
      <c r="J87" t="s">
        <v>324</v>
      </c>
    </row>
    <row r="88" spans="1:10" x14ac:dyDescent="0.25">
      <c r="A88" t="s">
        <v>261</v>
      </c>
      <c r="B88" s="3">
        <v>799</v>
      </c>
      <c r="C88" s="3" t="str">
        <f>IF(B88&lt;=Price_Q1,"Low Price",IF(B88&lt;=Price_Q3,"Medium Price","High Price"))</f>
        <v>Medium Price</v>
      </c>
      <c r="D88" s="3">
        <v>900</v>
      </c>
      <c r="E88" s="3">
        <f t="shared" si="2"/>
        <v>101</v>
      </c>
      <c r="F88" s="1">
        <v>0.11</v>
      </c>
      <c r="G88" s="1" t="str">
        <f t="shared" si="3"/>
        <v>Low Discount</v>
      </c>
      <c r="H88" s="4" t="s">
        <v>324</v>
      </c>
      <c r="I88" s="5" t="s">
        <v>324</v>
      </c>
      <c r="J88" t="s">
        <v>324</v>
      </c>
    </row>
    <row r="89" spans="1:10" x14ac:dyDescent="0.25">
      <c r="A89" t="s">
        <v>175</v>
      </c>
      <c r="B89" s="3">
        <v>657</v>
      </c>
      <c r="C89" s="3" t="str">
        <f>IF(B89&lt;=Price_Q1,"Low Price",IF(B89&lt;=Price_Q3,"Medium Price","High Price"))</f>
        <v>Medium Price</v>
      </c>
      <c r="D89" s="3">
        <v>1288</v>
      </c>
      <c r="E89" s="3">
        <f t="shared" si="2"/>
        <v>631</v>
      </c>
      <c r="F89" s="1">
        <v>0.49</v>
      </c>
      <c r="G89" s="1" t="str">
        <f t="shared" si="3"/>
        <v>High Discount</v>
      </c>
      <c r="H89" s="4" t="s">
        <v>324</v>
      </c>
      <c r="I89" s="5" t="s">
        <v>324</v>
      </c>
      <c r="J89" t="s">
        <v>324</v>
      </c>
    </row>
    <row r="90" spans="1:10" x14ac:dyDescent="0.25">
      <c r="A90" t="s">
        <v>264</v>
      </c>
      <c r="B90" s="3">
        <v>1468</v>
      </c>
      <c r="C90" s="3" t="str">
        <f>IF(B90&lt;=Price_Q1,"Low Price",IF(B90&lt;=Price_Q3,"Medium Price","High Price"))</f>
        <v>Medium Price</v>
      </c>
      <c r="D90" s="3">
        <v>1699</v>
      </c>
      <c r="E90" s="3">
        <f t="shared" si="2"/>
        <v>231</v>
      </c>
      <c r="F90" s="1">
        <v>0.14000000000000001</v>
      </c>
      <c r="G90" s="1" t="str">
        <f t="shared" si="3"/>
        <v>Low Discount</v>
      </c>
      <c r="H90" s="4" t="s">
        <v>324</v>
      </c>
      <c r="I90" s="5" t="s">
        <v>324</v>
      </c>
      <c r="J90" t="s">
        <v>324</v>
      </c>
    </row>
    <row r="91" spans="1:10" x14ac:dyDescent="0.25">
      <c r="A91" t="s">
        <v>266</v>
      </c>
      <c r="B91" s="3">
        <v>630</v>
      </c>
      <c r="C91" s="3" t="str">
        <f>IF(B91&lt;=Price_Q1,"Low Price",IF(B91&lt;=Price_Q3,"Medium Price","High Price"))</f>
        <v>Medium Price</v>
      </c>
      <c r="D91" s="3">
        <v>1100</v>
      </c>
      <c r="E91" s="3">
        <f t="shared" si="2"/>
        <v>470</v>
      </c>
      <c r="F91" s="1">
        <v>0.43</v>
      </c>
      <c r="G91" s="1" t="str">
        <f t="shared" si="3"/>
        <v>High Discount</v>
      </c>
      <c r="H91" s="4" t="s">
        <v>324</v>
      </c>
      <c r="I91" s="5" t="s">
        <v>324</v>
      </c>
      <c r="J91" t="s">
        <v>324</v>
      </c>
    </row>
    <row r="92" spans="1:10" x14ac:dyDescent="0.25">
      <c r="A92" t="s">
        <v>269</v>
      </c>
      <c r="B92" s="3">
        <v>850</v>
      </c>
      <c r="C92" s="3" t="str">
        <f>IF(B92&lt;=Price_Q1,"Low Price",IF(B92&lt;=Price_Q3,"Medium Price","High Price"))</f>
        <v>Medium Price</v>
      </c>
      <c r="D92" s="3">
        <v>1700</v>
      </c>
      <c r="E92" s="3">
        <f t="shared" si="2"/>
        <v>850</v>
      </c>
      <c r="F92" s="1">
        <v>0.5</v>
      </c>
      <c r="G92" s="1" t="str">
        <f t="shared" si="3"/>
        <v>High Discount</v>
      </c>
      <c r="H92" s="4" t="s">
        <v>324</v>
      </c>
      <c r="I92" s="5" t="s">
        <v>324</v>
      </c>
      <c r="J92" t="s">
        <v>324</v>
      </c>
    </row>
    <row r="93" spans="1:10" x14ac:dyDescent="0.25">
      <c r="A93" t="s">
        <v>272</v>
      </c>
      <c r="B93" s="3">
        <v>1300</v>
      </c>
      <c r="C93" s="3" t="str">
        <f>IF(B93&lt;=Price_Q1,"Low Price",IF(B93&lt;=Price_Q3,"Medium Price","High Price"))</f>
        <v>Medium Price</v>
      </c>
      <c r="D93" s="3">
        <v>2500</v>
      </c>
      <c r="E93" s="3">
        <f t="shared" si="2"/>
        <v>1200</v>
      </c>
      <c r="F93" s="1">
        <v>0.48</v>
      </c>
      <c r="G93" s="1" t="str">
        <f t="shared" si="3"/>
        <v>High Discount</v>
      </c>
      <c r="H93" s="4" t="s">
        <v>324</v>
      </c>
      <c r="I93" s="5" t="s">
        <v>324</v>
      </c>
      <c r="J93" t="s">
        <v>324</v>
      </c>
    </row>
    <row r="94" spans="1:10" x14ac:dyDescent="0.25">
      <c r="A94" t="s">
        <v>274</v>
      </c>
      <c r="B94" s="3">
        <v>105</v>
      </c>
      <c r="C94" s="3" t="str">
        <f>IF(B94&lt;=Price_Q1,"Low Price",IF(B94&lt;=Price_Q3,"Medium Price","High Price"))</f>
        <v>Low Price</v>
      </c>
      <c r="D94" s="3">
        <v>200</v>
      </c>
      <c r="E94" s="3">
        <f t="shared" si="2"/>
        <v>95</v>
      </c>
      <c r="F94" s="1">
        <v>0.48</v>
      </c>
      <c r="G94" s="1" t="str">
        <f t="shared" si="3"/>
        <v>High Discount</v>
      </c>
      <c r="H94" s="4" t="s">
        <v>324</v>
      </c>
      <c r="I94" s="5" t="s">
        <v>324</v>
      </c>
      <c r="J94" t="s">
        <v>324</v>
      </c>
    </row>
    <row r="95" spans="1:10" x14ac:dyDescent="0.25">
      <c r="A95" t="s">
        <v>277</v>
      </c>
      <c r="B95" s="3">
        <v>899</v>
      </c>
      <c r="C95" s="3" t="str">
        <f>IF(B95&lt;=Price_Q1,"Low Price",IF(B95&lt;=Price_Q3,"Medium Price","High Price"))</f>
        <v>Medium Price</v>
      </c>
      <c r="D95" s="3">
        <v>1699</v>
      </c>
      <c r="E95" s="3">
        <f t="shared" si="2"/>
        <v>800</v>
      </c>
      <c r="F95" s="1">
        <v>0.47</v>
      </c>
      <c r="G95" s="1" t="str">
        <f t="shared" si="3"/>
        <v>High Discount</v>
      </c>
      <c r="H95" s="4" t="s">
        <v>324</v>
      </c>
      <c r="I95" s="5" t="s">
        <v>324</v>
      </c>
      <c r="J95" t="s">
        <v>324</v>
      </c>
    </row>
    <row r="96" spans="1:10" x14ac:dyDescent="0.25">
      <c r="A96" t="s">
        <v>278</v>
      </c>
      <c r="B96" s="3">
        <v>1200</v>
      </c>
      <c r="C96" s="3" t="str">
        <f>IF(B96&lt;=Price_Q1,"Low Price",IF(B96&lt;=Price_Q3,"Medium Price","High Price"))</f>
        <v>Medium Price</v>
      </c>
      <c r="D96" s="3">
        <v>2400</v>
      </c>
      <c r="E96" s="3">
        <f t="shared" si="2"/>
        <v>1200</v>
      </c>
      <c r="F96" s="1">
        <v>0.5</v>
      </c>
      <c r="G96" s="1" t="str">
        <f t="shared" si="3"/>
        <v>High Discount</v>
      </c>
      <c r="H96" s="4" t="s">
        <v>324</v>
      </c>
      <c r="I96" s="5" t="s">
        <v>324</v>
      </c>
      <c r="J96" t="s">
        <v>324</v>
      </c>
    </row>
    <row r="97" spans="1:10" x14ac:dyDescent="0.25">
      <c r="A97" t="s">
        <v>280</v>
      </c>
      <c r="B97" s="3">
        <v>1526</v>
      </c>
      <c r="C97" s="3" t="str">
        <f>IF(B97&lt;=Price_Q1,"Low Price",IF(B97&lt;=Price_Q3,"Medium Price","High Price"))</f>
        <v>Medium Price</v>
      </c>
      <c r="D97" s="3">
        <v>1660</v>
      </c>
      <c r="E97" s="3">
        <f t="shared" si="2"/>
        <v>134</v>
      </c>
      <c r="F97" s="1">
        <v>0.08</v>
      </c>
      <c r="G97" s="1" t="str">
        <f t="shared" si="3"/>
        <v>Low Discount</v>
      </c>
      <c r="H97" s="4" t="s">
        <v>324</v>
      </c>
      <c r="I97" s="5" t="s">
        <v>324</v>
      </c>
      <c r="J97" t="s">
        <v>324</v>
      </c>
    </row>
    <row r="98" spans="1:10" x14ac:dyDescent="0.25">
      <c r="A98" t="s">
        <v>282</v>
      </c>
      <c r="B98" s="3">
        <v>1462</v>
      </c>
      <c r="C98" s="3" t="str">
        <f>IF(B98&lt;=Price_Q1,"Low Price",IF(B98&lt;=Price_Q3,"Medium Price","High Price"))</f>
        <v>Medium Price</v>
      </c>
      <c r="D98" s="3">
        <v>1499</v>
      </c>
      <c r="E98" s="3">
        <f t="shared" si="2"/>
        <v>37</v>
      </c>
      <c r="F98" s="1">
        <v>0.02</v>
      </c>
      <c r="G98" s="1" t="str">
        <f t="shared" si="3"/>
        <v>Low Discount</v>
      </c>
      <c r="H98" s="4" t="s">
        <v>324</v>
      </c>
      <c r="I98" s="5" t="s">
        <v>324</v>
      </c>
      <c r="J98" t="s">
        <v>324</v>
      </c>
    </row>
    <row r="99" spans="1:10" x14ac:dyDescent="0.25">
      <c r="A99" t="s">
        <v>284</v>
      </c>
      <c r="B99" s="3">
        <v>248</v>
      </c>
      <c r="C99" s="3" t="str">
        <f>IF(B99&lt;=Price_Q1,"Low Price",IF(B99&lt;=Price_Q3,"Medium Price","High Price"))</f>
        <v>Low Price</v>
      </c>
      <c r="D99" s="3">
        <v>486</v>
      </c>
      <c r="E99" s="3">
        <f t="shared" si="2"/>
        <v>238</v>
      </c>
      <c r="F99" s="1">
        <v>0.49</v>
      </c>
      <c r="G99" s="1" t="str">
        <f t="shared" si="3"/>
        <v>High Discount</v>
      </c>
      <c r="H99" s="4" t="s">
        <v>324</v>
      </c>
      <c r="I99" s="5" t="s">
        <v>324</v>
      </c>
      <c r="J99" t="s">
        <v>324</v>
      </c>
    </row>
    <row r="100" spans="1:10" x14ac:dyDescent="0.25">
      <c r="A100" t="s">
        <v>287</v>
      </c>
      <c r="B100" s="3">
        <v>3546</v>
      </c>
      <c r="C100" s="3" t="str">
        <f>IF(B100&lt;=Price_Q1,"Low Price",IF(B100&lt;=Price_Q3,"Medium Price","High Price"))</f>
        <v>High Price</v>
      </c>
      <c r="D100" s="3">
        <v>3699</v>
      </c>
      <c r="E100" s="3">
        <f t="shared" si="2"/>
        <v>153</v>
      </c>
      <c r="F100" s="1">
        <v>0.04</v>
      </c>
      <c r="G100" s="1" t="str">
        <f t="shared" si="3"/>
        <v>Low Discount</v>
      </c>
      <c r="H100" s="4" t="s">
        <v>324</v>
      </c>
      <c r="I100" s="5" t="s">
        <v>324</v>
      </c>
      <c r="J100" t="s">
        <v>324</v>
      </c>
    </row>
    <row r="101" spans="1:10" x14ac:dyDescent="0.25">
      <c r="A101" t="s">
        <v>289</v>
      </c>
      <c r="B101" s="3">
        <v>525</v>
      </c>
      <c r="C101" s="3" t="str">
        <f>IF(B101&lt;=Price_Q1,"Low Price",IF(B101&lt;=Price_Q3,"Medium Price","High Price"))</f>
        <v>Medium Price</v>
      </c>
      <c r="D101" s="3">
        <v>1029</v>
      </c>
      <c r="E101" s="3">
        <f t="shared" si="2"/>
        <v>504</v>
      </c>
      <c r="F101" s="1">
        <v>0.49</v>
      </c>
      <c r="G101" s="1" t="str">
        <f t="shared" si="3"/>
        <v>High Discount</v>
      </c>
      <c r="H101" s="4" t="s">
        <v>324</v>
      </c>
      <c r="I101" s="5" t="s">
        <v>324</v>
      </c>
      <c r="J101" t="s">
        <v>324</v>
      </c>
    </row>
    <row r="102" spans="1:10" x14ac:dyDescent="0.25">
      <c r="A102" t="s">
        <v>292</v>
      </c>
      <c r="B102" s="3">
        <v>1080</v>
      </c>
      <c r="C102" s="3" t="str">
        <f>IF(B102&lt;=Price_Q1,"Low Price",IF(B102&lt;=Price_Q3,"Medium Price","High Price"))</f>
        <v>Medium Price</v>
      </c>
      <c r="D102" s="3">
        <v>1874</v>
      </c>
      <c r="E102" s="3">
        <f t="shared" si="2"/>
        <v>794</v>
      </c>
      <c r="F102" s="1">
        <v>0.42</v>
      </c>
      <c r="G102" s="1" t="str">
        <f t="shared" si="3"/>
        <v>High Discount</v>
      </c>
      <c r="H102" s="4" t="s">
        <v>324</v>
      </c>
      <c r="I102" s="5" t="s">
        <v>324</v>
      </c>
      <c r="J102" t="s">
        <v>324</v>
      </c>
    </row>
    <row r="103" spans="1:10" x14ac:dyDescent="0.25">
      <c r="A103" t="s">
        <v>295</v>
      </c>
      <c r="B103" s="3">
        <v>3640</v>
      </c>
      <c r="C103" s="3" t="str">
        <f>IF(B103&lt;=Price_Q1,"Low Price",IF(B103&lt;=Price_Q3,"Medium Price","High Price"))</f>
        <v>High Price</v>
      </c>
      <c r="D103" s="3">
        <v>4588</v>
      </c>
      <c r="E103" s="3">
        <f t="shared" si="2"/>
        <v>948</v>
      </c>
      <c r="F103" s="1">
        <v>0.21</v>
      </c>
      <c r="G103" s="1" t="str">
        <f t="shared" si="3"/>
        <v>Medium Discount</v>
      </c>
      <c r="H103" s="4">
        <v>1</v>
      </c>
      <c r="I103" s="5">
        <v>5</v>
      </c>
      <c r="J103" t="str">
        <f>IF(OR(H103="",I103=""),"",IF(I103&lt;3,"Poor",IF(I103&lt;=4,"Average","Excellent")))</f>
        <v>Excellent</v>
      </c>
    </row>
    <row r="104" spans="1:10" x14ac:dyDescent="0.25">
      <c r="A104" t="s">
        <v>298</v>
      </c>
      <c r="B104" s="3">
        <v>1420</v>
      </c>
      <c r="C104" s="3" t="str">
        <f>IF(B104&lt;=Price_Q1,"Low Price",IF(B104&lt;=Price_Q3,"Medium Price","High Price"))</f>
        <v>Medium Price</v>
      </c>
      <c r="D104" s="3">
        <v>2420</v>
      </c>
      <c r="E104" s="3">
        <f t="shared" si="2"/>
        <v>1000</v>
      </c>
      <c r="F104" s="1">
        <v>0.41</v>
      </c>
      <c r="G104" s="1" t="str">
        <f t="shared" si="3"/>
        <v>High Discount</v>
      </c>
      <c r="H104" s="4" t="s">
        <v>324</v>
      </c>
      <c r="I104" s="5" t="s">
        <v>324</v>
      </c>
      <c r="J104" t="s">
        <v>324</v>
      </c>
    </row>
    <row r="105" spans="1:10" x14ac:dyDescent="0.25">
      <c r="A105" t="s">
        <v>301</v>
      </c>
      <c r="B105" s="3">
        <v>1875</v>
      </c>
      <c r="C105" s="3" t="str">
        <f>IF(B105&lt;=Price_Q1,"Low Price",IF(B105&lt;=Price_Q3,"Medium Price","High Price"))</f>
        <v>High Price</v>
      </c>
      <c r="D105" s="3">
        <v>1899</v>
      </c>
      <c r="E105" s="3">
        <f t="shared" si="2"/>
        <v>24</v>
      </c>
      <c r="F105" s="1">
        <v>0.01</v>
      </c>
      <c r="G105" s="1" t="str">
        <f t="shared" si="3"/>
        <v>Low Discount</v>
      </c>
      <c r="H105" s="4" t="s">
        <v>324</v>
      </c>
      <c r="I105" s="5" t="s">
        <v>324</v>
      </c>
      <c r="J105" t="s">
        <v>324</v>
      </c>
    </row>
    <row r="106" spans="1:10" x14ac:dyDescent="0.25">
      <c r="A106" t="s">
        <v>304</v>
      </c>
      <c r="B106" s="3">
        <v>198</v>
      </c>
      <c r="C106" s="3" t="str">
        <f>IF(B106&lt;=Price_Q1,"Low Price",IF(B106&lt;=Price_Q3,"Medium Price","High Price"))</f>
        <v>Low Price</v>
      </c>
      <c r="D106" s="3">
        <v>260</v>
      </c>
      <c r="E106" s="3">
        <f t="shared" si="2"/>
        <v>62</v>
      </c>
      <c r="F106" s="1">
        <v>0.24</v>
      </c>
      <c r="G106" s="1" t="str">
        <f t="shared" si="3"/>
        <v>Medium Discount</v>
      </c>
      <c r="H106" s="4" t="s">
        <v>324</v>
      </c>
      <c r="I106" s="5" t="s">
        <v>324</v>
      </c>
      <c r="J106" t="s">
        <v>324</v>
      </c>
    </row>
    <row r="107" spans="1:10" x14ac:dyDescent="0.25">
      <c r="A107" t="s">
        <v>307</v>
      </c>
      <c r="B107" s="3">
        <v>1150</v>
      </c>
      <c r="C107" s="3" t="str">
        <f>IF(B107&lt;=Price_Q1,"Low Price",IF(B107&lt;=Price_Q3,"Medium Price","High Price"))</f>
        <v>Medium Price</v>
      </c>
      <c r="D107" s="3">
        <v>1737</v>
      </c>
      <c r="E107" s="3">
        <f t="shared" si="2"/>
        <v>587</v>
      </c>
      <c r="F107" s="1">
        <v>0.34</v>
      </c>
      <c r="G107" s="1" t="str">
        <f t="shared" si="3"/>
        <v>Medium Discount</v>
      </c>
      <c r="H107" s="4" t="s">
        <v>324</v>
      </c>
      <c r="I107" s="5" t="s">
        <v>324</v>
      </c>
      <c r="J107" t="s">
        <v>324</v>
      </c>
    </row>
    <row r="108" spans="1:10" x14ac:dyDescent="0.25">
      <c r="A108" t="s">
        <v>310</v>
      </c>
      <c r="B108" s="3">
        <v>1190</v>
      </c>
      <c r="C108" s="3" t="str">
        <f>IF(B108&lt;=Price_Q1,"Low Price",IF(B108&lt;=Price_Q3,"Medium Price","High Price"))</f>
        <v>Medium Price</v>
      </c>
      <c r="D108" s="3">
        <v>1810</v>
      </c>
      <c r="E108" s="3">
        <f t="shared" si="2"/>
        <v>620</v>
      </c>
      <c r="F108" s="1">
        <v>0.34</v>
      </c>
      <c r="G108" s="1" t="str">
        <f t="shared" si="3"/>
        <v>Medium Discount</v>
      </c>
      <c r="H108" s="4" t="s">
        <v>324</v>
      </c>
      <c r="I108" s="5" t="s">
        <v>324</v>
      </c>
      <c r="J108" t="s">
        <v>324</v>
      </c>
    </row>
    <row r="109" spans="1:10" x14ac:dyDescent="0.25">
      <c r="A109" t="s">
        <v>312</v>
      </c>
      <c r="B109" s="3">
        <v>1658</v>
      </c>
      <c r="C109" s="3" t="str">
        <f>IF(B109&lt;=Price_Q1,"Low Price",IF(B109&lt;=Price_Q3,"Medium Price","High Price"))</f>
        <v>Medium Price</v>
      </c>
      <c r="D109" s="3">
        <v>1699</v>
      </c>
      <c r="E109" s="3">
        <f t="shared" si="2"/>
        <v>41</v>
      </c>
      <c r="F109" s="1">
        <v>0.02</v>
      </c>
      <c r="G109" s="1" t="str">
        <f t="shared" si="3"/>
        <v>Low Discount</v>
      </c>
      <c r="H109" s="4" t="s">
        <v>324</v>
      </c>
      <c r="I109" s="5" t="s">
        <v>324</v>
      </c>
      <c r="J109" t="s">
        <v>324</v>
      </c>
    </row>
    <row r="110" spans="1:10" x14ac:dyDescent="0.25">
      <c r="A110" t="s">
        <v>314</v>
      </c>
      <c r="B110" s="3">
        <v>1768</v>
      </c>
      <c r="C110" s="3" t="str">
        <f>IF(B110&lt;=Price_Q1,"Low Price",IF(B110&lt;=Price_Q3,"Medium Price","High Price"))</f>
        <v>High Price</v>
      </c>
      <c r="D110" s="3">
        <v>1799</v>
      </c>
      <c r="E110" s="3">
        <f t="shared" si="2"/>
        <v>31</v>
      </c>
      <c r="F110" s="1">
        <v>0.02</v>
      </c>
      <c r="G110" s="1" t="str">
        <f t="shared" si="3"/>
        <v>Low Discount</v>
      </c>
      <c r="H110" s="4" t="s">
        <v>324</v>
      </c>
      <c r="I110" s="5" t="s">
        <v>324</v>
      </c>
      <c r="J110" t="s">
        <v>324</v>
      </c>
    </row>
    <row r="111" spans="1:10" x14ac:dyDescent="0.25">
      <c r="A111" t="s">
        <v>316</v>
      </c>
      <c r="B111" s="3">
        <v>199</v>
      </c>
      <c r="C111" s="3" t="str">
        <f>IF(B111&lt;=Price_Q1,"Low Price",IF(B111&lt;=Price_Q3,"Medium Price","High Price"))</f>
        <v>Low Price</v>
      </c>
      <c r="D111" s="3">
        <v>553</v>
      </c>
      <c r="E111" s="3">
        <f t="shared" si="2"/>
        <v>354</v>
      </c>
      <c r="F111" s="1">
        <v>0.64</v>
      </c>
      <c r="G111" s="1" t="str">
        <f t="shared" si="3"/>
        <v>High Discount</v>
      </c>
      <c r="H111" s="4" t="s">
        <v>324</v>
      </c>
      <c r="I111" s="5" t="s">
        <v>324</v>
      </c>
      <c r="J111" t="s">
        <v>324</v>
      </c>
    </row>
    <row r="112" spans="1:10" x14ac:dyDescent="0.25">
      <c r="A112" t="s">
        <v>318</v>
      </c>
      <c r="B112" s="3">
        <v>450</v>
      </c>
      <c r="C112" s="3" t="str">
        <f>IF(B112&lt;=Price_Q1,"Low Price",IF(B112&lt;=Price_Q3,"Medium Price","High Price"))</f>
        <v>Low Price</v>
      </c>
      <c r="D112" s="3">
        <v>900</v>
      </c>
      <c r="E112" s="3">
        <f t="shared" si="2"/>
        <v>450</v>
      </c>
      <c r="F112" s="1">
        <v>0.5</v>
      </c>
      <c r="G112" s="1" t="str">
        <f t="shared" si="3"/>
        <v>High Discount</v>
      </c>
      <c r="H112" s="4">
        <v>1</v>
      </c>
      <c r="I112" s="5">
        <v>2</v>
      </c>
      <c r="J112" t="str">
        <f>IF(OR(H112="",I112=""),"",IF(I112&lt;3,"Poor",IF(I112&lt;=4,"Average","Excellent")))</f>
        <v>Poor</v>
      </c>
    </row>
    <row r="113" spans="1:10" x14ac:dyDescent="0.25">
      <c r="A113" t="s">
        <v>320</v>
      </c>
      <c r="B113" s="3">
        <v>169</v>
      </c>
      <c r="C113" s="3" t="str">
        <f>IF(B113&lt;=Price_Q1,"Low Price",IF(B113&lt;=Price_Q3,"Medium Price","High Price"))</f>
        <v>Low Price</v>
      </c>
      <c r="D113" s="3">
        <v>320</v>
      </c>
      <c r="E113" s="3">
        <f t="shared" si="2"/>
        <v>151</v>
      </c>
      <c r="F113" s="1">
        <v>0.47</v>
      </c>
      <c r="G113" s="1" t="str">
        <f t="shared" si="3"/>
        <v>High Discount</v>
      </c>
      <c r="H113" s="4" t="s">
        <v>324</v>
      </c>
      <c r="I113" s="5" t="s">
        <v>324</v>
      </c>
      <c r="J113" t="s">
        <v>324</v>
      </c>
    </row>
  </sheetData>
  <autoFilter ref="A1:I1" xr:uid="{4F77A91E-8D46-406A-BE5F-44E4F20A1D7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B7D90-8567-4074-BA6D-CB8ED460E098}">
  <dimension ref="A1:J117"/>
  <sheetViews>
    <sheetView topLeftCell="B1" zoomScale="80" workbookViewId="0">
      <pane ySplit="1" topLeftCell="A16" activePane="bottomLeft" state="frozen"/>
      <selection activeCell="B1" sqref="B1"/>
      <selection pane="bottomLeft" activeCell="J1" activeCellId="2" sqref="H1:H1048576 I1:I1048576 J1:J1048576"/>
    </sheetView>
  </sheetViews>
  <sheetFormatPr defaultRowHeight="15" x14ac:dyDescent="0.25"/>
  <cols>
    <col min="1" max="1" width="95.7109375" style="6" bestFit="1" customWidth="1"/>
    <col min="2" max="2" width="12.5703125" style="3" bestFit="1" customWidth="1"/>
    <col min="3" max="3" width="13.85546875" style="2" bestFit="1" customWidth="1"/>
    <col min="4" max="4" width="11.28515625" style="3" bestFit="1" customWidth="1"/>
    <col min="5" max="5" width="16.42578125" style="3" bestFit="1" customWidth="1"/>
    <col min="6" max="6" width="11" style="1" bestFit="1" customWidth="1"/>
    <col min="7" max="7" width="17.28515625" style="2" bestFit="1" customWidth="1"/>
    <col min="8" max="8" width="9.42578125" style="4" bestFit="1" customWidth="1"/>
    <col min="9" max="9" width="9.140625" style="5"/>
    <col min="10" max="10" width="15" style="2" bestFit="1" customWidth="1"/>
  </cols>
  <sheetData>
    <row r="1" spans="1:10" x14ac:dyDescent="0.25">
      <c r="A1" s="6" t="s">
        <v>0</v>
      </c>
      <c r="B1" s="3" t="s">
        <v>1</v>
      </c>
      <c r="C1" s="2" t="s">
        <v>335</v>
      </c>
      <c r="D1" s="3" t="s">
        <v>331</v>
      </c>
      <c r="E1" s="3" t="s">
        <v>332</v>
      </c>
      <c r="F1" s="1" t="s">
        <v>3</v>
      </c>
      <c r="G1" s="2" t="s">
        <v>334</v>
      </c>
      <c r="H1" s="4" t="s">
        <v>4</v>
      </c>
      <c r="I1" s="5" t="s">
        <v>323</v>
      </c>
      <c r="J1" s="2" t="s">
        <v>333</v>
      </c>
    </row>
    <row r="2" spans="1:10" x14ac:dyDescent="0.25">
      <c r="A2" s="6" t="s">
        <v>325</v>
      </c>
      <c r="B2" s="3">
        <v>950</v>
      </c>
      <c r="C2" s="2" t="s">
        <v>336</v>
      </c>
      <c r="D2" s="3">
        <v>1525</v>
      </c>
      <c r="E2" s="3">
        <v>575</v>
      </c>
      <c r="F2" s="1">
        <v>0.38</v>
      </c>
      <c r="G2" s="2" t="s">
        <v>337</v>
      </c>
      <c r="H2" s="4">
        <v>2</v>
      </c>
      <c r="I2" s="5">
        <v>4.5</v>
      </c>
      <c r="J2" s="2" t="s">
        <v>338</v>
      </c>
    </row>
    <row r="3" spans="1:10" x14ac:dyDescent="0.25">
      <c r="A3" s="6" t="s">
        <v>10</v>
      </c>
      <c r="B3" s="3">
        <v>527</v>
      </c>
      <c r="C3" s="2" t="s">
        <v>336</v>
      </c>
      <c r="D3" s="3">
        <v>999</v>
      </c>
      <c r="E3" s="3">
        <v>472</v>
      </c>
      <c r="F3" s="1">
        <v>0.47</v>
      </c>
      <c r="G3" s="2" t="s">
        <v>339</v>
      </c>
      <c r="H3" s="4">
        <v>14</v>
      </c>
      <c r="I3" s="5">
        <v>4.0999999999999996</v>
      </c>
      <c r="J3" s="2" t="s">
        <v>338</v>
      </c>
    </row>
    <row r="4" spans="1:10" x14ac:dyDescent="0.25">
      <c r="A4" s="6" t="s">
        <v>14</v>
      </c>
      <c r="B4" s="3">
        <v>2199</v>
      </c>
      <c r="C4" s="2" t="s">
        <v>340</v>
      </c>
      <c r="D4" s="3">
        <v>2923</v>
      </c>
      <c r="E4" s="3">
        <v>724</v>
      </c>
      <c r="F4" s="1">
        <v>0.25</v>
      </c>
      <c r="G4" s="2" t="s">
        <v>337</v>
      </c>
      <c r="H4" s="4">
        <v>24</v>
      </c>
      <c r="I4" s="5">
        <v>4.5999999999999996</v>
      </c>
      <c r="J4" s="2" t="s">
        <v>338</v>
      </c>
    </row>
    <row r="5" spans="1:10" x14ac:dyDescent="0.25">
      <c r="A5" s="6" t="s">
        <v>18</v>
      </c>
      <c r="B5" s="3">
        <v>1580</v>
      </c>
      <c r="C5" s="2" t="s">
        <v>336</v>
      </c>
      <c r="D5" s="3">
        <v>2499</v>
      </c>
      <c r="E5" s="3">
        <v>919</v>
      </c>
      <c r="F5" s="1">
        <v>0.37</v>
      </c>
      <c r="G5" s="2" t="s">
        <v>337</v>
      </c>
      <c r="H5" s="4">
        <v>7</v>
      </c>
      <c r="I5" s="5">
        <v>4.7</v>
      </c>
      <c r="J5" s="2" t="s">
        <v>338</v>
      </c>
    </row>
    <row r="6" spans="1:10" x14ac:dyDescent="0.25">
      <c r="A6" s="6" t="s">
        <v>22</v>
      </c>
      <c r="B6" s="3">
        <v>1740</v>
      </c>
      <c r="C6" s="2" t="s">
        <v>340</v>
      </c>
      <c r="D6" s="3">
        <v>2356</v>
      </c>
      <c r="E6" s="3">
        <v>616</v>
      </c>
      <c r="F6" s="1">
        <v>0.26</v>
      </c>
      <c r="G6" s="2" t="s">
        <v>337</v>
      </c>
      <c r="H6" s="4">
        <v>5</v>
      </c>
      <c r="I6" s="5">
        <v>4.8</v>
      </c>
      <c r="J6" s="2" t="s">
        <v>338</v>
      </c>
    </row>
    <row r="7" spans="1:10" x14ac:dyDescent="0.25">
      <c r="A7" s="6" t="s">
        <v>26</v>
      </c>
      <c r="B7" s="3">
        <v>2999</v>
      </c>
      <c r="C7" s="2" t="s">
        <v>340</v>
      </c>
      <c r="D7" s="3">
        <v>3290</v>
      </c>
      <c r="E7" s="3">
        <v>291</v>
      </c>
      <c r="F7" s="1">
        <v>0.09</v>
      </c>
      <c r="G7" s="2" t="s">
        <v>341</v>
      </c>
      <c r="H7" s="4">
        <v>15</v>
      </c>
      <c r="I7" s="5">
        <v>4</v>
      </c>
      <c r="J7" s="2" t="s">
        <v>342</v>
      </c>
    </row>
    <row r="8" spans="1:10" x14ac:dyDescent="0.25">
      <c r="A8" s="6" t="s">
        <v>30</v>
      </c>
      <c r="B8" s="3">
        <v>2319</v>
      </c>
      <c r="C8" s="2" t="s">
        <v>340</v>
      </c>
      <c r="D8" s="3">
        <v>3032</v>
      </c>
      <c r="E8" s="3">
        <v>713</v>
      </c>
      <c r="F8" s="1">
        <v>0.24</v>
      </c>
      <c r="G8" s="2" t="s">
        <v>337</v>
      </c>
      <c r="H8" s="4">
        <v>55</v>
      </c>
      <c r="I8" s="5">
        <v>4.5999999999999996</v>
      </c>
      <c r="J8" s="2" t="s">
        <v>338</v>
      </c>
    </row>
    <row r="9" spans="1:10" x14ac:dyDescent="0.25">
      <c r="A9" s="6" t="s">
        <v>33</v>
      </c>
      <c r="B9" s="3">
        <v>988</v>
      </c>
      <c r="C9" s="2" t="s">
        <v>336</v>
      </c>
      <c r="D9" s="3">
        <v>1580</v>
      </c>
      <c r="E9" s="3">
        <v>592</v>
      </c>
      <c r="F9" s="1">
        <v>0.37</v>
      </c>
      <c r="G9" s="2" t="s">
        <v>337</v>
      </c>
      <c r="H9" s="4">
        <v>2</v>
      </c>
      <c r="I9" s="5">
        <v>4</v>
      </c>
      <c r="J9" s="2" t="s">
        <v>342</v>
      </c>
    </row>
    <row r="10" spans="1:10" x14ac:dyDescent="0.25">
      <c r="A10" s="6" t="s">
        <v>35</v>
      </c>
      <c r="B10" s="3">
        <v>1274</v>
      </c>
      <c r="C10" s="2" t="s">
        <v>336</v>
      </c>
      <c r="D10" s="3">
        <v>2800</v>
      </c>
      <c r="E10" s="3">
        <v>1526</v>
      </c>
      <c r="F10" s="1">
        <v>0.55000000000000004</v>
      </c>
      <c r="G10" s="2" t="s">
        <v>339</v>
      </c>
      <c r="H10" s="4">
        <v>5</v>
      </c>
      <c r="I10" s="5">
        <v>4.8</v>
      </c>
      <c r="J10" s="2" t="s">
        <v>338</v>
      </c>
    </row>
    <row r="11" spans="1:10" x14ac:dyDescent="0.25">
      <c r="A11" s="6" t="s">
        <v>38</v>
      </c>
      <c r="B11" s="3">
        <v>1600</v>
      </c>
      <c r="C11" s="2" t="s">
        <v>336</v>
      </c>
      <c r="D11" s="3">
        <v>2929</v>
      </c>
      <c r="E11" s="3">
        <v>1329</v>
      </c>
      <c r="F11" s="1">
        <v>0.45</v>
      </c>
      <c r="G11" s="2" t="s">
        <v>339</v>
      </c>
      <c r="H11" s="4">
        <v>5</v>
      </c>
      <c r="I11" s="5">
        <v>3.8</v>
      </c>
      <c r="J11" s="2" t="s">
        <v>342</v>
      </c>
    </row>
    <row r="12" spans="1:10" x14ac:dyDescent="0.25">
      <c r="A12" s="6" t="s">
        <v>42</v>
      </c>
      <c r="B12" s="3">
        <v>799</v>
      </c>
      <c r="C12" s="2" t="s">
        <v>336</v>
      </c>
      <c r="D12" s="3">
        <v>999</v>
      </c>
      <c r="E12" s="3">
        <v>200</v>
      </c>
      <c r="F12" s="1">
        <v>0.2</v>
      </c>
      <c r="G12" s="2" t="s">
        <v>337</v>
      </c>
      <c r="H12" s="4">
        <v>12</v>
      </c>
      <c r="I12" s="5">
        <v>4.0999999999999996</v>
      </c>
      <c r="J12" s="2" t="s">
        <v>338</v>
      </c>
    </row>
    <row r="13" spans="1:10" x14ac:dyDescent="0.25">
      <c r="A13" s="6" t="s">
        <v>44</v>
      </c>
      <c r="B13" s="3">
        <v>990</v>
      </c>
      <c r="C13" s="2" t="s">
        <v>336</v>
      </c>
      <c r="D13" s="3">
        <v>1500</v>
      </c>
      <c r="E13" s="3">
        <v>510</v>
      </c>
      <c r="F13" s="1">
        <v>0.34</v>
      </c>
      <c r="G13" s="2" t="s">
        <v>337</v>
      </c>
      <c r="H13" s="4">
        <v>39</v>
      </c>
      <c r="I13" s="5">
        <v>4.7</v>
      </c>
      <c r="J13" s="2" t="s">
        <v>338</v>
      </c>
    </row>
    <row r="14" spans="1:10" x14ac:dyDescent="0.25">
      <c r="A14" s="6" t="s">
        <v>47</v>
      </c>
      <c r="B14" s="3">
        <v>552</v>
      </c>
      <c r="C14" s="2" t="s">
        <v>336</v>
      </c>
      <c r="D14" s="3">
        <v>1035</v>
      </c>
      <c r="E14" s="3">
        <v>483</v>
      </c>
      <c r="F14" s="1">
        <v>0.47</v>
      </c>
      <c r="G14" s="2" t="s">
        <v>339</v>
      </c>
      <c r="H14" s="4">
        <v>12</v>
      </c>
      <c r="I14" s="5">
        <v>4.8</v>
      </c>
      <c r="J14" s="2" t="s">
        <v>338</v>
      </c>
    </row>
    <row r="15" spans="1:10" x14ac:dyDescent="0.25">
      <c r="A15" s="6" t="s">
        <v>50</v>
      </c>
      <c r="B15" s="3">
        <v>501</v>
      </c>
      <c r="C15" s="2" t="s">
        <v>336</v>
      </c>
      <c r="D15" s="3">
        <v>860</v>
      </c>
      <c r="E15" s="3">
        <v>359</v>
      </c>
      <c r="F15" s="1">
        <v>0.42</v>
      </c>
      <c r="G15" s="2" t="s">
        <v>339</v>
      </c>
      <c r="H15" s="4">
        <v>6</v>
      </c>
      <c r="I15" s="5">
        <v>4.5</v>
      </c>
      <c r="J15" s="2" t="s">
        <v>338</v>
      </c>
    </row>
    <row r="16" spans="1:10" x14ac:dyDescent="0.25">
      <c r="A16" s="6" t="s">
        <v>53</v>
      </c>
      <c r="B16" s="3">
        <v>1680</v>
      </c>
      <c r="C16" s="2" t="s">
        <v>340</v>
      </c>
      <c r="D16" s="3">
        <v>2499</v>
      </c>
      <c r="E16" s="3">
        <v>819</v>
      </c>
      <c r="F16" s="1">
        <v>0.33</v>
      </c>
      <c r="G16" s="2" t="s">
        <v>337</v>
      </c>
      <c r="H16" s="4">
        <v>9</v>
      </c>
      <c r="I16" s="5">
        <v>4.2</v>
      </c>
      <c r="J16" s="2" t="s">
        <v>338</v>
      </c>
    </row>
    <row r="17" spans="1:10" x14ac:dyDescent="0.25">
      <c r="A17" s="6" t="s">
        <v>326</v>
      </c>
      <c r="B17" s="3">
        <v>332</v>
      </c>
      <c r="C17" s="2" t="s">
        <v>343</v>
      </c>
      <c r="D17" s="3">
        <v>684</v>
      </c>
      <c r="E17" s="3">
        <v>352</v>
      </c>
      <c r="F17" s="1">
        <v>0.51</v>
      </c>
      <c r="G17" s="2" t="s">
        <v>339</v>
      </c>
      <c r="H17" s="4">
        <v>2</v>
      </c>
      <c r="I17" s="5">
        <v>5</v>
      </c>
      <c r="J17" s="2" t="s">
        <v>338</v>
      </c>
    </row>
    <row r="18" spans="1:10" x14ac:dyDescent="0.25">
      <c r="A18" s="6" t="s">
        <v>327</v>
      </c>
      <c r="B18" s="3">
        <v>195</v>
      </c>
      <c r="C18" s="2" t="s">
        <v>343</v>
      </c>
      <c r="D18" s="3">
        <v>360</v>
      </c>
      <c r="E18" s="3">
        <v>165</v>
      </c>
      <c r="F18" s="1">
        <v>0.46</v>
      </c>
      <c r="G18" s="2" t="s">
        <v>339</v>
      </c>
      <c r="H18" s="4">
        <v>2</v>
      </c>
      <c r="I18" s="5">
        <v>5</v>
      </c>
      <c r="J18" s="2" t="s">
        <v>338</v>
      </c>
    </row>
    <row r="19" spans="1:10" x14ac:dyDescent="0.25">
      <c r="A19" s="6" t="s">
        <v>63</v>
      </c>
      <c r="B19" s="3">
        <v>2025</v>
      </c>
      <c r="C19" s="2" t="s">
        <v>340</v>
      </c>
      <c r="D19" s="3">
        <v>3971</v>
      </c>
      <c r="E19" s="3">
        <v>1946</v>
      </c>
      <c r="F19" s="1">
        <v>0.49</v>
      </c>
      <c r="G19" s="2" t="s">
        <v>339</v>
      </c>
      <c r="H19" s="4">
        <v>3</v>
      </c>
      <c r="I19" s="5">
        <v>5</v>
      </c>
      <c r="J19" s="2" t="s">
        <v>338</v>
      </c>
    </row>
    <row r="20" spans="1:10" x14ac:dyDescent="0.25">
      <c r="A20" s="6" t="s">
        <v>66</v>
      </c>
      <c r="B20" s="3">
        <v>2999</v>
      </c>
      <c r="C20" s="2" t="s">
        <v>340</v>
      </c>
      <c r="D20" s="3">
        <v>3699</v>
      </c>
      <c r="E20" s="3">
        <v>700</v>
      </c>
      <c r="F20" s="1">
        <v>0.19</v>
      </c>
      <c r="G20" s="2" t="s">
        <v>341</v>
      </c>
      <c r="H20" s="4">
        <v>5</v>
      </c>
      <c r="I20" s="5">
        <v>4.5999999999999996</v>
      </c>
      <c r="J20" s="2" t="s">
        <v>338</v>
      </c>
    </row>
    <row r="21" spans="1:10" x14ac:dyDescent="0.25">
      <c r="A21" s="6" t="s">
        <v>68</v>
      </c>
      <c r="B21" s="3">
        <v>998</v>
      </c>
      <c r="C21" s="2" t="s">
        <v>336</v>
      </c>
      <c r="D21" s="3">
        <v>1966</v>
      </c>
      <c r="E21" s="3">
        <v>968</v>
      </c>
      <c r="F21" s="1">
        <v>0.49</v>
      </c>
      <c r="G21" s="2" t="s">
        <v>339</v>
      </c>
      <c r="H21" s="4">
        <v>44</v>
      </c>
      <c r="I21" s="5">
        <v>4.5999999999999996</v>
      </c>
      <c r="J21" s="2" t="s">
        <v>338</v>
      </c>
    </row>
    <row r="22" spans="1:10" x14ac:dyDescent="0.25">
      <c r="A22" s="6" t="s">
        <v>71</v>
      </c>
      <c r="B22" s="3">
        <v>38</v>
      </c>
      <c r="C22" s="2" t="s">
        <v>343</v>
      </c>
      <c r="D22" s="3">
        <v>80</v>
      </c>
      <c r="E22" s="3">
        <v>42</v>
      </c>
      <c r="F22" s="1">
        <v>0.53</v>
      </c>
      <c r="G22" s="2" t="s">
        <v>339</v>
      </c>
      <c r="H22" s="4">
        <v>13</v>
      </c>
      <c r="I22" s="5">
        <v>3.3</v>
      </c>
      <c r="J22" s="2" t="s">
        <v>342</v>
      </c>
    </row>
    <row r="23" spans="1:10" x14ac:dyDescent="0.25">
      <c r="A23" s="6" t="s">
        <v>75</v>
      </c>
      <c r="B23" s="3">
        <v>1860</v>
      </c>
      <c r="C23" s="2" t="s">
        <v>340</v>
      </c>
      <c r="D23" s="3">
        <v>3220</v>
      </c>
      <c r="E23" s="3">
        <v>1360</v>
      </c>
      <c r="F23" s="1">
        <v>0.42</v>
      </c>
      <c r="G23" s="2" t="s">
        <v>339</v>
      </c>
      <c r="H23" s="4" t="s">
        <v>324</v>
      </c>
      <c r="I23" s="5" t="s">
        <v>324</v>
      </c>
      <c r="J23" s="2" t="s">
        <v>324</v>
      </c>
    </row>
    <row r="24" spans="1:10" x14ac:dyDescent="0.25">
      <c r="A24" s="6" t="s">
        <v>78</v>
      </c>
      <c r="B24" s="3">
        <v>880</v>
      </c>
      <c r="C24" s="2" t="s">
        <v>336</v>
      </c>
      <c r="D24" s="3">
        <v>1350</v>
      </c>
      <c r="E24" s="3">
        <v>470</v>
      </c>
      <c r="F24" s="1">
        <v>0.35</v>
      </c>
      <c r="G24" s="2" t="s">
        <v>337</v>
      </c>
      <c r="H24" s="4">
        <v>6</v>
      </c>
      <c r="I24" s="5">
        <v>4</v>
      </c>
      <c r="J24" s="2" t="s">
        <v>342</v>
      </c>
    </row>
    <row r="25" spans="1:10" x14ac:dyDescent="0.25">
      <c r="A25" s="6" t="s">
        <v>81</v>
      </c>
      <c r="B25" s="3">
        <v>1650</v>
      </c>
      <c r="C25" s="2" t="s">
        <v>336</v>
      </c>
      <c r="D25" s="3">
        <v>2150</v>
      </c>
      <c r="E25" s="3">
        <v>500</v>
      </c>
      <c r="F25" s="1">
        <v>0.23</v>
      </c>
      <c r="G25" s="2" t="s">
        <v>337</v>
      </c>
      <c r="H25" s="4">
        <v>14</v>
      </c>
      <c r="I25" s="5">
        <v>4.4000000000000004</v>
      </c>
      <c r="J25" s="2" t="s">
        <v>338</v>
      </c>
    </row>
    <row r="26" spans="1:10" x14ac:dyDescent="0.25">
      <c r="A26" s="6" t="s">
        <v>85</v>
      </c>
      <c r="B26" s="3">
        <v>2048</v>
      </c>
      <c r="C26" s="2" t="s">
        <v>340</v>
      </c>
      <c r="D26" s="3">
        <v>4500</v>
      </c>
      <c r="E26" s="3">
        <v>2452</v>
      </c>
      <c r="F26" s="1">
        <v>0.54</v>
      </c>
      <c r="G26" s="2" t="s">
        <v>339</v>
      </c>
      <c r="H26" s="4">
        <v>7</v>
      </c>
      <c r="I26" s="5">
        <v>4.3</v>
      </c>
      <c r="J26" s="2" t="s">
        <v>338</v>
      </c>
    </row>
    <row r="27" spans="1:10" x14ac:dyDescent="0.25">
      <c r="A27" s="6" t="s">
        <v>89</v>
      </c>
      <c r="B27" s="3">
        <v>420</v>
      </c>
      <c r="C27" s="2" t="s">
        <v>343</v>
      </c>
      <c r="D27" s="3">
        <v>647</v>
      </c>
      <c r="E27" s="3">
        <v>227</v>
      </c>
      <c r="F27" s="1">
        <v>0.35</v>
      </c>
      <c r="G27" s="2" t="s">
        <v>337</v>
      </c>
      <c r="H27" s="4">
        <v>49</v>
      </c>
      <c r="I27" s="5">
        <v>4.5999999999999996</v>
      </c>
      <c r="J27" s="2" t="s">
        <v>338</v>
      </c>
    </row>
    <row r="28" spans="1:10" x14ac:dyDescent="0.25">
      <c r="A28" s="6" t="s">
        <v>92</v>
      </c>
      <c r="B28" s="3">
        <v>2880</v>
      </c>
      <c r="C28" s="2" t="s">
        <v>340</v>
      </c>
      <c r="D28" s="3">
        <v>3520</v>
      </c>
      <c r="E28" s="3">
        <v>640</v>
      </c>
      <c r="F28" s="1">
        <v>0.18</v>
      </c>
      <c r="G28" s="2" t="s">
        <v>341</v>
      </c>
      <c r="H28" s="4">
        <v>12</v>
      </c>
      <c r="I28" s="5">
        <v>3.8</v>
      </c>
      <c r="J28" s="2" t="s">
        <v>342</v>
      </c>
    </row>
    <row r="29" spans="1:10" x14ac:dyDescent="0.25">
      <c r="A29" s="6" t="s">
        <v>95</v>
      </c>
      <c r="B29" s="3">
        <v>1350</v>
      </c>
      <c r="C29" s="2" t="s">
        <v>336</v>
      </c>
      <c r="D29" s="3">
        <v>1990</v>
      </c>
      <c r="E29" s="3">
        <v>640</v>
      </c>
      <c r="F29" s="1">
        <v>0.32</v>
      </c>
      <c r="G29" s="2" t="s">
        <v>337</v>
      </c>
      <c r="H29" s="4">
        <v>13</v>
      </c>
      <c r="I29" s="5">
        <v>3.8</v>
      </c>
      <c r="J29" s="2" t="s">
        <v>342</v>
      </c>
    </row>
    <row r="30" spans="1:10" x14ac:dyDescent="0.25">
      <c r="A30" s="6" t="s">
        <v>97</v>
      </c>
      <c r="B30" s="3">
        <v>1758</v>
      </c>
      <c r="C30" s="2" t="s">
        <v>340</v>
      </c>
      <c r="D30" s="3">
        <v>2499</v>
      </c>
      <c r="E30" s="3">
        <v>741</v>
      </c>
      <c r="F30" s="1">
        <v>0.3</v>
      </c>
      <c r="G30" s="2" t="s">
        <v>337</v>
      </c>
      <c r="H30" s="4">
        <v>20</v>
      </c>
      <c r="I30" s="5">
        <v>4.0999999999999996</v>
      </c>
      <c r="J30" s="2" t="s">
        <v>338</v>
      </c>
    </row>
    <row r="31" spans="1:10" x14ac:dyDescent="0.25">
      <c r="A31" s="6" t="s">
        <v>99</v>
      </c>
      <c r="B31" s="3">
        <v>2200</v>
      </c>
      <c r="C31" s="2" t="s">
        <v>340</v>
      </c>
      <c r="D31" s="3">
        <v>4080</v>
      </c>
      <c r="E31" s="3">
        <v>1880</v>
      </c>
      <c r="F31" s="1">
        <v>0.46</v>
      </c>
      <c r="G31" s="2" t="s">
        <v>339</v>
      </c>
      <c r="H31" s="4" t="s">
        <v>324</v>
      </c>
      <c r="I31" s="5" t="s">
        <v>324</v>
      </c>
      <c r="J31" s="2" t="s">
        <v>324</v>
      </c>
    </row>
    <row r="32" spans="1:10" x14ac:dyDescent="0.25">
      <c r="A32" s="6" t="s">
        <v>102</v>
      </c>
      <c r="B32" s="3">
        <v>185</v>
      </c>
      <c r="C32" s="2" t="s">
        <v>343</v>
      </c>
      <c r="D32" s="3">
        <v>382</v>
      </c>
      <c r="E32" s="3">
        <v>197</v>
      </c>
      <c r="F32" s="1">
        <v>0.52</v>
      </c>
      <c r="G32" s="2" t="s">
        <v>339</v>
      </c>
      <c r="H32" s="4">
        <v>9</v>
      </c>
      <c r="I32" s="5">
        <v>4.3</v>
      </c>
      <c r="J32" s="2" t="s">
        <v>338</v>
      </c>
    </row>
    <row r="33" spans="1:10" x14ac:dyDescent="0.25">
      <c r="A33" s="6" t="s">
        <v>105</v>
      </c>
      <c r="B33" s="3">
        <v>980</v>
      </c>
      <c r="C33" s="2" t="s">
        <v>336</v>
      </c>
      <c r="D33" s="3">
        <v>1490</v>
      </c>
      <c r="E33" s="3">
        <v>510</v>
      </c>
      <c r="F33" s="1">
        <v>0.34</v>
      </c>
      <c r="G33" s="2" t="s">
        <v>337</v>
      </c>
      <c r="H33" s="4">
        <v>12</v>
      </c>
      <c r="I33" s="5">
        <v>4.7</v>
      </c>
      <c r="J33" s="2" t="s">
        <v>338</v>
      </c>
    </row>
    <row r="34" spans="1:10" x14ac:dyDescent="0.25">
      <c r="A34" s="6" t="s">
        <v>328</v>
      </c>
      <c r="B34" s="3">
        <v>1820</v>
      </c>
      <c r="C34" s="2" t="s">
        <v>340</v>
      </c>
      <c r="D34" s="3">
        <v>3490</v>
      </c>
      <c r="E34" s="3">
        <v>1670</v>
      </c>
      <c r="F34" s="1">
        <v>0.48</v>
      </c>
      <c r="G34" s="2" t="s">
        <v>339</v>
      </c>
      <c r="H34" s="4">
        <v>9</v>
      </c>
      <c r="I34" s="5">
        <v>4.3</v>
      </c>
      <c r="J34" s="2" t="s">
        <v>338</v>
      </c>
    </row>
    <row r="35" spans="1:10" x14ac:dyDescent="0.25">
      <c r="A35" s="6" t="s">
        <v>111</v>
      </c>
      <c r="B35" s="3">
        <v>1940</v>
      </c>
      <c r="C35" s="2" t="s">
        <v>340</v>
      </c>
      <c r="D35" s="3">
        <v>2650</v>
      </c>
      <c r="E35" s="3">
        <v>710</v>
      </c>
      <c r="F35" s="1">
        <v>0.27</v>
      </c>
      <c r="G35" s="2" t="s">
        <v>337</v>
      </c>
      <c r="H35" s="4">
        <v>20</v>
      </c>
      <c r="I35" s="5">
        <v>4.7</v>
      </c>
      <c r="J35" s="2" t="s">
        <v>338</v>
      </c>
    </row>
    <row r="36" spans="1:10" x14ac:dyDescent="0.25">
      <c r="A36" s="6" t="s">
        <v>114</v>
      </c>
      <c r="B36" s="3">
        <v>1980</v>
      </c>
      <c r="C36" s="2" t="s">
        <v>340</v>
      </c>
      <c r="D36" s="3">
        <v>2699</v>
      </c>
      <c r="E36" s="3">
        <v>719</v>
      </c>
      <c r="F36" s="1">
        <v>0.27</v>
      </c>
      <c r="G36" s="2" t="s">
        <v>337</v>
      </c>
      <c r="H36" s="4">
        <v>32</v>
      </c>
      <c r="I36" s="5">
        <v>4.5</v>
      </c>
      <c r="J36" s="2" t="s">
        <v>338</v>
      </c>
    </row>
    <row r="37" spans="1:10" x14ac:dyDescent="0.25">
      <c r="A37" s="6" t="s">
        <v>117</v>
      </c>
      <c r="B37" s="3">
        <v>1620</v>
      </c>
      <c r="C37" s="2" t="s">
        <v>336</v>
      </c>
      <c r="D37" s="3">
        <v>2690</v>
      </c>
      <c r="E37" s="3">
        <v>1070</v>
      </c>
      <c r="F37" s="1">
        <v>0.4</v>
      </c>
      <c r="G37" s="2" t="s">
        <v>337</v>
      </c>
      <c r="H37" s="4">
        <v>1</v>
      </c>
      <c r="I37" s="5">
        <v>5</v>
      </c>
      <c r="J37" s="2" t="s">
        <v>338</v>
      </c>
    </row>
    <row r="38" spans="1:10" x14ac:dyDescent="0.25">
      <c r="A38" s="6" t="s">
        <v>120</v>
      </c>
      <c r="B38" s="3">
        <v>171</v>
      </c>
      <c r="C38" s="2" t="s">
        <v>343</v>
      </c>
      <c r="D38" s="3">
        <v>360</v>
      </c>
      <c r="E38" s="3">
        <v>189</v>
      </c>
      <c r="F38" s="1">
        <v>0.53</v>
      </c>
      <c r="G38" s="2" t="s">
        <v>339</v>
      </c>
      <c r="H38" s="4">
        <v>2</v>
      </c>
      <c r="I38" s="5">
        <v>5</v>
      </c>
      <c r="J38" s="2" t="s">
        <v>338</v>
      </c>
    </row>
    <row r="39" spans="1:10" x14ac:dyDescent="0.25">
      <c r="A39" s="6" t="s">
        <v>122</v>
      </c>
      <c r="B39" s="3">
        <v>389</v>
      </c>
      <c r="C39" s="2" t="s">
        <v>343</v>
      </c>
      <c r="D39" s="3">
        <v>656</v>
      </c>
      <c r="E39" s="3">
        <v>267</v>
      </c>
      <c r="F39" s="1">
        <v>0.41</v>
      </c>
      <c r="G39" s="2" t="s">
        <v>339</v>
      </c>
      <c r="H39" s="4">
        <v>36</v>
      </c>
      <c r="I39" s="5">
        <v>4.3</v>
      </c>
      <c r="J39" s="2" t="s">
        <v>338</v>
      </c>
    </row>
    <row r="40" spans="1:10" x14ac:dyDescent="0.25">
      <c r="A40" s="6" t="s">
        <v>125</v>
      </c>
      <c r="B40" s="3">
        <v>1800</v>
      </c>
      <c r="C40" s="2" t="s">
        <v>340</v>
      </c>
      <c r="D40" s="3">
        <v>2700</v>
      </c>
      <c r="E40" s="3">
        <v>900</v>
      </c>
      <c r="F40" s="1">
        <v>0.38</v>
      </c>
      <c r="G40" s="2" t="s">
        <v>337</v>
      </c>
      <c r="H40" s="4">
        <v>2</v>
      </c>
      <c r="I40" s="5">
        <v>4.5</v>
      </c>
      <c r="J40" s="2" t="s">
        <v>338</v>
      </c>
    </row>
    <row r="41" spans="1:10" x14ac:dyDescent="0.25">
      <c r="A41" s="6" t="s">
        <v>128</v>
      </c>
      <c r="B41" s="3">
        <v>2750</v>
      </c>
      <c r="C41" s="2" t="s">
        <v>340</v>
      </c>
      <c r="D41" s="3">
        <v>4471</v>
      </c>
      <c r="E41" s="3">
        <v>1721</v>
      </c>
      <c r="F41" s="1">
        <v>0.38</v>
      </c>
      <c r="G41" s="2" t="s">
        <v>337</v>
      </c>
      <c r="H41" s="4" t="s">
        <v>324</v>
      </c>
      <c r="I41" s="5" t="s">
        <v>324</v>
      </c>
      <c r="J41" s="2" t="s">
        <v>324</v>
      </c>
    </row>
    <row r="42" spans="1:10" x14ac:dyDescent="0.25">
      <c r="A42" s="6" t="s">
        <v>131</v>
      </c>
      <c r="B42" s="3">
        <v>475</v>
      </c>
      <c r="C42" s="2" t="s">
        <v>343</v>
      </c>
      <c r="D42" s="3">
        <v>931</v>
      </c>
      <c r="E42" s="3">
        <v>456</v>
      </c>
      <c r="F42" s="1">
        <v>0.49</v>
      </c>
      <c r="G42" s="2" t="s">
        <v>339</v>
      </c>
      <c r="H42" s="4" t="s">
        <v>324</v>
      </c>
      <c r="I42" s="5" t="s">
        <v>324</v>
      </c>
      <c r="J42" s="2" t="s">
        <v>324</v>
      </c>
    </row>
    <row r="43" spans="1:10" x14ac:dyDescent="0.25">
      <c r="A43" s="6" t="s">
        <v>134</v>
      </c>
      <c r="B43" s="3">
        <v>238</v>
      </c>
      <c r="C43" s="2" t="s">
        <v>343</v>
      </c>
      <c r="D43" s="3">
        <v>476</v>
      </c>
      <c r="E43" s="3">
        <v>238</v>
      </c>
      <c r="F43" s="1">
        <v>0.5</v>
      </c>
      <c r="G43" s="2" t="s">
        <v>339</v>
      </c>
      <c r="H43" s="4" t="s">
        <v>324</v>
      </c>
      <c r="I43" s="5" t="s">
        <v>324</v>
      </c>
      <c r="J43" s="2" t="s">
        <v>324</v>
      </c>
    </row>
    <row r="44" spans="1:10" x14ac:dyDescent="0.25">
      <c r="A44" s="6" t="s">
        <v>137</v>
      </c>
      <c r="B44" s="3">
        <v>610</v>
      </c>
      <c r="C44" s="2" t="s">
        <v>336</v>
      </c>
      <c r="D44" s="3">
        <v>1060</v>
      </c>
      <c r="E44" s="3">
        <v>450</v>
      </c>
      <c r="F44" s="1">
        <v>0.42</v>
      </c>
      <c r="G44" s="2" t="s">
        <v>339</v>
      </c>
      <c r="H44" s="4" t="s">
        <v>324</v>
      </c>
      <c r="I44" s="5" t="s">
        <v>324</v>
      </c>
      <c r="J44" s="2" t="s">
        <v>324</v>
      </c>
    </row>
    <row r="45" spans="1:10" x14ac:dyDescent="0.25">
      <c r="A45" s="6" t="s">
        <v>140</v>
      </c>
      <c r="B45" s="3">
        <v>2132</v>
      </c>
      <c r="C45" s="2" t="s">
        <v>340</v>
      </c>
      <c r="D45" s="3">
        <v>2169</v>
      </c>
      <c r="E45" s="3">
        <v>37</v>
      </c>
      <c r="F45" s="1">
        <v>0.02</v>
      </c>
      <c r="G45" s="2" t="s">
        <v>341</v>
      </c>
      <c r="H45" s="4" t="s">
        <v>324</v>
      </c>
      <c r="I45" s="5" t="s">
        <v>324</v>
      </c>
      <c r="J45" s="2" t="s">
        <v>324</v>
      </c>
    </row>
    <row r="46" spans="1:10" x14ac:dyDescent="0.25">
      <c r="A46" s="6" t="s">
        <v>143</v>
      </c>
      <c r="B46" s="3">
        <v>999</v>
      </c>
      <c r="C46" s="2" t="s">
        <v>336</v>
      </c>
      <c r="D46" s="3">
        <v>2000</v>
      </c>
      <c r="E46" s="3">
        <v>1001</v>
      </c>
      <c r="F46" s="1">
        <v>0.5</v>
      </c>
      <c r="G46" s="2" t="s">
        <v>339</v>
      </c>
      <c r="H46" s="4" t="s">
        <v>324</v>
      </c>
      <c r="I46" s="5" t="s">
        <v>324</v>
      </c>
      <c r="J46" s="2" t="s">
        <v>324</v>
      </c>
    </row>
    <row r="47" spans="1:10" x14ac:dyDescent="0.25">
      <c r="A47" s="6" t="s">
        <v>145</v>
      </c>
      <c r="B47" s="3">
        <v>1190</v>
      </c>
      <c r="C47" s="2" t="s">
        <v>336</v>
      </c>
      <c r="D47" s="3">
        <v>1785</v>
      </c>
      <c r="E47" s="3">
        <v>595</v>
      </c>
      <c r="F47" s="1">
        <v>0.33</v>
      </c>
      <c r="G47" s="2" t="s">
        <v>337</v>
      </c>
      <c r="H47" s="4" t="s">
        <v>324</v>
      </c>
      <c r="I47" s="5" t="s">
        <v>324</v>
      </c>
      <c r="J47" s="2" t="s">
        <v>324</v>
      </c>
    </row>
    <row r="48" spans="1:10" x14ac:dyDescent="0.25">
      <c r="A48" s="6" t="s">
        <v>148</v>
      </c>
      <c r="B48" s="3">
        <v>671</v>
      </c>
      <c r="C48" s="2" t="s">
        <v>336</v>
      </c>
      <c r="D48" s="3">
        <v>1316</v>
      </c>
      <c r="E48" s="3">
        <v>645</v>
      </c>
      <c r="F48" s="1">
        <v>0.49</v>
      </c>
      <c r="G48" s="2" t="s">
        <v>339</v>
      </c>
      <c r="H48" s="4" t="s">
        <v>324</v>
      </c>
      <c r="I48" s="5" t="s">
        <v>324</v>
      </c>
      <c r="J48" s="2" t="s">
        <v>324</v>
      </c>
    </row>
    <row r="49" spans="1:10" x14ac:dyDescent="0.25">
      <c r="A49" s="6" t="s">
        <v>151</v>
      </c>
      <c r="B49" s="3">
        <v>1200</v>
      </c>
      <c r="C49" s="2" t="s">
        <v>336</v>
      </c>
      <c r="D49" s="3">
        <v>1950</v>
      </c>
      <c r="E49" s="3">
        <v>750</v>
      </c>
      <c r="F49" s="1">
        <v>0.38</v>
      </c>
      <c r="G49" s="2" t="s">
        <v>337</v>
      </c>
      <c r="H49" s="4" t="s">
        <v>324</v>
      </c>
      <c r="I49" s="5" t="s">
        <v>324</v>
      </c>
      <c r="J49" s="2" t="s">
        <v>324</v>
      </c>
    </row>
    <row r="50" spans="1:10" x14ac:dyDescent="0.25">
      <c r="A50" s="6" t="s">
        <v>154</v>
      </c>
      <c r="B50" s="3">
        <v>199</v>
      </c>
      <c r="C50" s="2" t="s">
        <v>343</v>
      </c>
      <c r="D50" s="3">
        <v>504</v>
      </c>
      <c r="E50" s="3">
        <v>305</v>
      </c>
      <c r="F50" s="1">
        <v>0.61</v>
      </c>
      <c r="G50" s="2" t="s">
        <v>339</v>
      </c>
      <c r="H50" s="4" t="s">
        <v>324</v>
      </c>
      <c r="I50" s="5" t="s">
        <v>324</v>
      </c>
      <c r="J50" s="2" t="s">
        <v>324</v>
      </c>
    </row>
    <row r="51" spans="1:10" x14ac:dyDescent="0.25">
      <c r="A51" s="6" t="s">
        <v>157</v>
      </c>
      <c r="B51" s="3">
        <v>299</v>
      </c>
      <c r="C51" s="2" t="s">
        <v>343</v>
      </c>
      <c r="D51" s="3">
        <v>600</v>
      </c>
      <c r="E51" s="3">
        <v>301</v>
      </c>
      <c r="F51" s="1">
        <v>0.5</v>
      </c>
      <c r="G51" s="2" t="s">
        <v>339</v>
      </c>
      <c r="H51" s="4" t="s">
        <v>324</v>
      </c>
      <c r="I51" s="5" t="s">
        <v>324</v>
      </c>
      <c r="J51" s="2" t="s">
        <v>324</v>
      </c>
    </row>
    <row r="52" spans="1:10" x14ac:dyDescent="0.25">
      <c r="A52" s="6" t="s">
        <v>160</v>
      </c>
      <c r="B52" s="3">
        <v>1660</v>
      </c>
      <c r="C52" s="2" t="s">
        <v>336</v>
      </c>
      <c r="D52" s="3">
        <v>1699</v>
      </c>
      <c r="E52" s="3">
        <v>39</v>
      </c>
      <c r="F52" s="1">
        <v>0.02</v>
      </c>
      <c r="G52" s="2" t="s">
        <v>341</v>
      </c>
      <c r="H52" s="4" t="s">
        <v>324</v>
      </c>
      <c r="I52" s="5" t="s">
        <v>324</v>
      </c>
      <c r="J52" s="2" t="s">
        <v>324</v>
      </c>
    </row>
    <row r="53" spans="1:10" x14ac:dyDescent="0.25">
      <c r="A53" s="6" t="s">
        <v>163</v>
      </c>
      <c r="B53" s="3">
        <v>299</v>
      </c>
      <c r="C53" s="2" t="s">
        <v>343</v>
      </c>
      <c r="D53" s="3">
        <v>384</v>
      </c>
      <c r="E53" s="3">
        <v>85</v>
      </c>
      <c r="F53" s="1">
        <v>0.22</v>
      </c>
      <c r="G53" s="2" t="s">
        <v>337</v>
      </c>
      <c r="H53" s="4" t="s">
        <v>324</v>
      </c>
      <c r="I53" s="5" t="s">
        <v>324</v>
      </c>
      <c r="J53" s="2" t="s">
        <v>324</v>
      </c>
    </row>
    <row r="54" spans="1:10" x14ac:dyDescent="0.25">
      <c r="A54" s="6" t="s">
        <v>165</v>
      </c>
      <c r="B54" s="3">
        <v>1459</v>
      </c>
      <c r="C54" s="2" t="s">
        <v>336</v>
      </c>
      <c r="D54" s="3">
        <v>1499</v>
      </c>
      <c r="E54" s="3">
        <v>40</v>
      </c>
      <c r="F54" s="1">
        <v>0.03</v>
      </c>
      <c r="G54" s="2" t="s">
        <v>341</v>
      </c>
      <c r="H54" s="4" t="s">
        <v>324</v>
      </c>
      <c r="I54" s="5" t="s">
        <v>324</v>
      </c>
      <c r="J54" s="2" t="s">
        <v>324</v>
      </c>
    </row>
    <row r="55" spans="1:10" x14ac:dyDescent="0.25">
      <c r="A55" s="6" t="s">
        <v>168</v>
      </c>
      <c r="B55" s="3">
        <v>799</v>
      </c>
      <c r="C55" s="2" t="s">
        <v>336</v>
      </c>
      <c r="D55" s="3">
        <v>1343</v>
      </c>
      <c r="E55" s="3">
        <v>544</v>
      </c>
      <c r="F55" s="1">
        <v>0.41</v>
      </c>
      <c r="G55" s="2" t="s">
        <v>339</v>
      </c>
      <c r="H55" s="4" t="s">
        <v>324</v>
      </c>
      <c r="I55" s="5" t="s">
        <v>324</v>
      </c>
      <c r="J55" s="2" t="s">
        <v>324</v>
      </c>
    </row>
    <row r="56" spans="1:10" x14ac:dyDescent="0.25">
      <c r="A56" s="6" t="s">
        <v>170</v>
      </c>
      <c r="B56" s="3">
        <v>499</v>
      </c>
      <c r="C56" s="2" t="s">
        <v>336</v>
      </c>
      <c r="D56" s="3">
        <v>900</v>
      </c>
      <c r="E56" s="3">
        <v>401</v>
      </c>
      <c r="F56" s="1">
        <v>0.45</v>
      </c>
      <c r="G56" s="2" t="s">
        <v>339</v>
      </c>
      <c r="H56" s="4" t="s">
        <v>324</v>
      </c>
      <c r="I56" s="5" t="s">
        <v>324</v>
      </c>
      <c r="J56" s="2" t="s">
        <v>324</v>
      </c>
    </row>
    <row r="57" spans="1:10" x14ac:dyDescent="0.25">
      <c r="A57" s="6" t="s">
        <v>173</v>
      </c>
      <c r="B57" s="3">
        <v>699</v>
      </c>
      <c r="C57" s="2" t="s">
        <v>336</v>
      </c>
      <c r="D57" s="3">
        <v>1343</v>
      </c>
      <c r="E57" s="3">
        <v>644</v>
      </c>
      <c r="F57" s="1">
        <v>0.48</v>
      </c>
      <c r="G57" s="2" t="s">
        <v>339</v>
      </c>
      <c r="H57" s="4" t="s">
        <v>324</v>
      </c>
      <c r="I57" s="5" t="s">
        <v>324</v>
      </c>
      <c r="J57" s="2" t="s">
        <v>324</v>
      </c>
    </row>
    <row r="58" spans="1:10" x14ac:dyDescent="0.25">
      <c r="A58" s="6" t="s">
        <v>175</v>
      </c>
      <c r="B58" s="3">
        <v>799</v>
      </c>
      <c r="C58" s="2" t="s">
        <v>336</v>
      </c>
      <c r="D58" s="3">
        <v>1567</v>
      </c>
      <c r="E58" s="3">
        <v>768</v>
      </c>
      <c r="F58" s="1">
        <v>0.49</v>
      </c>
      <c r="G58" s="2" t="s">
        <v>339</v>
      </c>
      <c r="H58" s="4" t="s">
        <v>324</v>
      </c>
      <c r="I58" s="5" t="s">
        <v>324</v>
      </c>
      <c r="J58" s="2" t="s">
        <v>324</v>
      </c>
    </row>
    <row r="59" spans="1:10" x14ac:dyDescent="0.25">
      <c r="A59" s="6" t="s">
        <v>177</v>
      </c>
      <c r="B59" s="3">
        <v>2799</v>
      </c>
      <c r="C59" s="2" t="s">
        <v>340</v>
      </c>
      <c r="D59" s="3">
        <v>3810</v>
      </c>
      <c r="E59" s="3">
        <v>1011</v>
      </c>
      <c r="F59" s="1">
        <v>0.27</v>
      </c>
      <c r="G59" s="2" t="s">
        <v>337</v>
      </c>
      <c r="H59" s="4" t="s">
        <v>324</v>
      </c>
      <c r="I59" s="5" t="s">
        <v>324</v>
      </c>
      <c r="J59" s="2" t="s">
        <v>324</v>
      </c>
    </row>
    <row r="60" spans="1:10" x14ac:dyDescent="0.25">
      <c r="A60" s="6" t="s">
        <v>170</v>
      </c>
      <c r="B60" s="3">
        <v>399</v>
      </c>
      <c r="C60" s="2" t="s">
        <v>343</v>
      </c>
      <c r="D60" s="3">
        <v>896</v>
      </c>
      <c r="E60" s="3">
        <v>497</v>
      </c>
      <c r="F60" s="1">
        <v>0.55000000000000004</v>
      </c>
      <c r="G60" s="2" t="s">
        <v>339</v>
      </c>
      <c r="H60" s="4" t="s">
        <v>324</v>
      </c>
      <c r="I60" s="5" t="s">
        <v>324</v>
      </c>
      <c r="J60" s="2" t="s">
        <v>324</v>
      </c>
    </row>
    <row r="61" spans="1:10" x14ac:dyDescent="0.25">
      <c r="A61" s="6" t="s">
        <v>182</v>
      </c>
      <c r="B61" s="3">
        <v>2170</v>
      </c>
      <c r="C61" s="2" t="s">
        <v>340</v>
      </c>
      <c r="D61" s="3">
        <v>2500</v>
      </c>
      <c r="E61" s="3">
        <v>330</v>
      </c>
      <c r="F61" s="1">
        <v>0.13</v>
      </c>
      <c r="G61" s="2" t="s">
        <v>341</v>
      </c>
      <c r="H61" s="4">
        <v>6</v>
      </c>
      <c r="I61" s="5">
        <v>2.5</v>
      </c>
      <c r="J61" s="2" t="s">
        <v>344</v>
      </c>
    </row>
    <row r="62" spans="1:10" x14ac:dyDescent="0.25">
      <c r="A62" s="6" t="s">
        <v>186</v>
      </c>
      <c r="B62" s="3">
        <v>458</v>
      </c>
      <c r="C62" s="2" t="s">
        <v>343</v>
      </c>
      <c r="D62" s="3">
        <v>986</v>
      </c>
      <c r="E62" s="3">
        <v>528</v>
      </c>
      <c r="F62" s="1">
        <v>0.54</v>
      </c>
      <c r="G62" s="2" t="s">
        <v>339</v>
      </c>
      <c r="H62" s="4">
        <v>10</v>
      </c>
      <c r="I62" s="5">
        <v>3</v>
      </c>
      <c r="J62" s="2" t="s">
        <v>342</v>
      </c>
    </row>
    <row r="63" spans="1:10" x14ac:dyDescent="0.25">
      <c r="A63" s="6" t="s">
        <v>190</v>
      </c>
      <c r="B63" s="3">
        <v>2115</v>
      </c>
      <c r="C63" s="2" t="s">
        <v>340</v>
      </c>
      <c r="D63" s="3">
        <v>4700</v>
      </c>
      <c r="E63" s="3">
        <v>2585</v>
      </c>
      <c r="F63" s="1">
        <v>0.55000000000000004</v>
      </c>
      <c r="G63" s="2" t="s">
        <v>339</v>
      </c>
      <c r="H63" s="4">
        <v>13</v>
      </c>
      <c r="I63" s="5">
        <v>2.1</v>
      </c>
      <c r="J63" s="2" t="s">
        <v>344</v>
      </c>
    </row>
    <row r="64" spans="1:10" x14ac:dyDescent="0.25">
      <c r="A64" s="6" t="s">
        <v>194</v>
      </c>
      <c r="B64" s="3">
        <v>445</v>
      </c>
      <c r="C64" s="2" t="s">
        <v>343</v>
      </c>
      <c r="D64" s="3">
        <v>873</v>
      </c>
      <c r="E64" s="3">
        <v>428</v>
      </c>
      <c r="F64" s="1">
        <v>0.49</v>
      </c>
      <c r="G64" s="2" t="s">
        <v>339</v>
      </c>
      <c r="H64" s="4">
        <v>69</v>
      </c>
      <c r="I64" s="5">
        <v>2.8</v>
      </c>
      <c r="J64" s="2" t="s">
        <v>344</v>
      </c>
    </row>
    <row r="65" spans="1:10" x14ac:dyDescent="0.25">
      <c r="A65" s="6" t="s">
        <v>329</v>
      </c>
      <c r="B65" s="3">
        <v>325</v>
      </c>
      <c r="C65" s="2" t="s">
        <v>343</v>
      </c>
      <c r="D65" s="3">
        <v>680</v>
      </c>
      <c r="E65" s="3">
        <v>355</v>
      </c>
      <c r="F65" s="1">
        <v>0.52</v>
      </c>
      <c r="G65" s="2" t="s">
        <v>339</v>
      </c>
      <c r="H65" s="4">
        <v>15</v>
      </c>
      <c r="I65" s="5">
        <v>2.7</v>
      </c>
      <c r="J65" s="2" t="s">
        <v>344</v>
      </c>
    </row>
    <row r="66" spans="1:10" x14ac:dyDescent="0.25">
      <c r="A66" s="6" t="s">
        <v>202</v>
      </c>
      <c r="B66" s="3">
        <v>1220</v>
      </c>
      <c r="C66" s="2" t="s">
        <v>336</v>
      </c>
      <c r="D66" s="3">
        <v>1555</v>
      </c>
      <c r="E66" s="3">
        <v>335</v>
      </c>
      <c r="F66" s="1">
        <v>0.22</v>
      </c>
      <c r="G66" s="2" t="s">
        <v>337</v>
      </c>
      <c r="H66" s="4">
        <v>16</v>
      </c>
      <c r="I66" s="5">
        <v>2.9</v>
      </c>
      <c r="J66" s="2" t="s">
        <v>344</v>
      </c>
    </row>
    <row r="67" spans="1:10" x14ac:dyDescent="0.25">
      <c r="A67" s="6" t="s">
        <v>206</v>
      </c>
      <c r="B67" s="3">
        <v>990</v>
      </c>
      <c r="C67" s="2" t="s">
        <v>336</v>
      </c>
      <c r="D67" s="3">
        <v>1814</v>
      </c>
      <c r="E67" s="3">
        <v>824</v>
      </c>
      <c r="F67" s="1">
        <v>0.45</v>
      </c>
      <c r="G67" s="2" t="s">
        <v>339</v>
      </c>
      <c r="H67" s="4">
        <v>6</v>
      </c>
      <c r="I67" s="5">
        <v>2.2000000000000002</v>
      </c>
      <c r="J67" s="2" t="s">
        <v>344</v>
      </c>
    </row>
    <row r="68" spans="1:10" x14ac:dyDescent="0.25">
      <c r="A68" s="6" t="s">
        <v>209</v>
      </c>
      <c r="B68" s="3">
        <v>1000</v>
      </c>
      <c r="C68" s="2" t="s">
        <v>336</v>
      </c>
      <c r="D68" s="3">
        <v>2000</v>
      </c>
      <c r="E68" s="3">
        <v>1000</v>
      </c>
      <c r="F68" s="1">
        <v>0.5</v>
      </c>
      <c r="G68" s="2" t="s">
        <v>339</v>
      </c>
      <c r="H68" s="4">
        <v>7</v>
      </c>
      <c r="I68" s="5">
        <v>2.2999999999999998</v>
      </c>
      <c r="J68" s="2" t="s">
        <v>344</v>
      </c>
    </row>
    <row r="69" spans="1:10" x14ac:dyDescent="0.25">
      <c r="A69" s="6" t="s">
        <v>212</v>
      </c>
      <c r="B69" s="3">
        <v>3750</v>
      </c>
      <c r="C69" s="2" t="s">
        <v>340</v>
      </c>
      <c r="D69" s="3">
        <v>6143</v>
      </c>
      <c r="E69" s="3">
        <v>2393</v>
      </c>
      <c r="F69" s="1">
        <v>0.39</v>
      </c>
      <c r="G69" s="2" t="s">
        <v>337</v>
      </c>
      <c r="H69" s="4">
        <v>5</v>
      </c>
      <c r="I69" s="5">
        <v>3</v>
      </c>
      <c r="J69" s="2" t="s">
        <v>342</v>
      </c>
    </row>
    <row r="70" spans="1:10" x14ac:dyDescent="0.25">
      <c r="A70" s="6" t="s">
        <v>215</v>
      </c>
      <c r="B70" s="3">
        <v>382</v>
      </c>
      <c r="C70" s="2" t="s">
        <v>343</v>
      </c>
      <c r="D70" s="3">
        <v>700</v>
      </c>
      <c r="E70" s="3">
        <v>318</v>
      </c>
      <c r="F70" s="1">
        <v>0.45</v>
      </c>
      <c r="G70" s="2" t="s">
        <v>339</v>
      </c>
      <c r="H70" s="4">
        <v>17</v>
      </c>
      <c r="I70" s="5">
        <v>2.6</v>
      </c>
      <c r="J70" s="2" t="s">
        <v>344</v>
      </c>
    </row>
    <row r="71" spans="1:10" x14ac:dyDescent="0.25">
      <c r="A71" s="6" t="s">
        <v>218</v>
      </c>
      <c r="B71" s="3">
        <v>2300</v>
      </c>
      <c r="C71" s="2" t="s">
        <v>340</v>
      </c>
      <c r="D71" s="3">
        <v>3240</v>
      </c>
      <c r="E71" s="3">
        <v>940</v>
      </c>
      <c r="F71" s="1">
        <v>0.28999999999999998</v>
      </c>
      <c r="G71" s="2" t="s">
        <v>337</v>
      </c>
      <c r="H71" s="4">
        <v>5</v>
      </c>
      <c r="I71" s="5">
        <v>3</v>
      </c>
      <c r="J71" s="2" t="s">
        <v>342</v>
      </c>
    </row>
    <row r="72" spans="1:10" x14ac:dyDescent="0.25">
      <c r="A72" s="6" t="s">
        <v>221</v>
      </c>
      <c r="B72" s="3">
        <v>345</v>
      </c>
      <c r="C72" s="2" t="s">
        <v>343</v>
      </c>
      <c r="D72" s="3">
        <v>602</v>
      </c>
      <c r="E72" s="3">
        <v>257</v>
      </c>
      <c r="F72" s="1">
        <v>0.43</v>
      </c>
      <c r="G72" s="2" t="s">
        <v>339</v>
      </c>
      <c r="H72" s="4">
        <v>6</v>
      </c>
      <c r="I72" s="5">
        <v>2.2999999999999998</v>
      </c>
      <c r="J72" s="2" t="s">
        <v>344</v>
      </c>
    </row>
    <row r="73" spans="1:10" x14ac:dyDescent="0.25">
      <c r="A73" s="6" t="s">
        <v>224</v>
      </c>
      <c r="B73" s="3">
        <v>509</v>
      </c>
      <c r="C73" s="2" t="s">
        <v>336</v>
      </c>
      <c r="D73" s="3">
        <v>899</v>
      </c>
      <c r="E73" s="3">
        <v>390</v>
      </c>
      <c r="F73" s="1">
        <v>0.43</v>
      </c>
      <c r="G73" s="2" t="s">
        <v>339</v>
      </c>
      <c r="H73" s="4">
        <v>5</v>
      </c>
      <c r="I73" s="5">
        <v>3</v>
      </c>
      <c r="J73" s="2" t="s">
        <v>342</v>
      </c>
    </row>
    <row r="74" spans="1:10" x14ac:dyDescent="0.25">
      <c r="A74" s="6" t="s">
        <v>227</v>
      </c>
      <c r="B74" s="3">
        <v>968</v>
      </c>
      <c r="C74" s="2" t="s">
        <v>336</v>
      </c>
      <c r="D74" s="3">
        <v>1814</v>
      </c>
      <c r="E74" s="3">
        <v>846</v>
      </c>
      <c r="F74" s="1">
        <v>0.47</v>
      </c>
      <c r="G74" s="2" t="s">
        <v>339</v>
      </c>
      <c r="H74" s="4">
        <v>6</v>
      </c>
      <c r="I74" s="5">
        <v>2.2000000000000002</v>
      </c>
      <c r="J74" s="2" t="s">
        <v>344</v>
      </c>
    </row>
    <row r="75" spans="1:10" x14ac:dyDescent="0.25">
      <c r="A75" s="6" t="s">
        <v>229</v>
      </c>
      <c r="B75" s="3">
        <v>1570</v>
      </c>
      <c r="C75" s="2" t="s">
        <v>336</v>
      </c>
      <c r="D75" s="3">
        <v>2988</v>
      </c>
      <c r="E75" s="3">
        <v>1418</v>
      </c>
      <c r="F75" s="1">
        <v>0.47</v>
      </c>
      <c r="G75" s="2" t="s">
        <v>339</v>
      </c>
      <c r="H75" s="4">
        <v>7</v>
      </c>
      <c r="I75" s="5">
        <v>2.1</v>
      </c>
      <c r="J75" s="2" t="s">
        <v>344</v>
      </c>
    </row>
    <row r="76" spans="1:10" x14ac:dyDescent="0.25">
      <c r="A76" s="6" t="s">
        <v>232</v>
      </c>
      <c r="B76" s="3">
        <v>790</v>
      </c>
      <c r="C76" s="2" t="s">
        <v>336</v>
      </c>
      <c r="D76" s="3">
        <v>1485</v>
      </c>
      <c r="E76" s="3">
        <v>695</v>
      </c>
      <c r="F76" s="1">
        <v>0.47</v>
      </c>
      <c r="G76" s="2" t="s">
        <v>339</v>
      </c>
      <c r="H76" s="4" t="s">
        <v>324</v>
      </c>
      <c r="I76" s="5" t="s">
        <v>324</v>
      </c>
      <c r="J76" s="2" t="s">
        <v>324</v>
      </c>
    </row>
    <row r="77" spans="1:10" x14ac:dyDescent="0.25">
      <c r="A77" s="6" t="s">
        <v>235</v>
      </c>
      <c r="B77" s="3">
        <v>690</v>
      </c>
      <c r="C77" s="2" t="s">
        <v>336</v>
      </c>
      <c r="D77" s="3">
        <v>1200</v>
      </c>
      <c r="E77" s="3">
        <v>510</v>
      </c>
      <c r="F77" s="1">
        <v>0.43</v>
      </c>
      <c r="G77" s="2" t="s">
        <v>339</v>
      </c>
      <c r="H77" s="4" t="s">
        <v>324</v>
      </c>
      <c r="I77" s="5" t="s">
        <v>324</v>
      </c>
      <c r="J77" s="2" t="s">
        <v>324</v>
      </c>
    </row>
    <row r="78" spans="1:10" x14ac:dyDescent="0.25">
      <c r="A78" s="6" t="s">
        <v>237</v>
      </c>
      <c r="B78" s="3">
        <v>1732</v>
      </c>
      <c r="C78" s="2" t="s">
        <v>340</v>
      </c>
      <c r="D78" s="3">
        <v>1799</v>
      </c>
      <c r="E78" s="3">
        <v>67</v>
      </c>
      <c r="F78" s="1">
        <v>0.04</v>
      </c>
      <c r="G78" s="2" t="s">
        <v>341</v>
      </c>
      <c r="H78" s="4" t="s">
        <v>324</v>
      </c>
      <c r="I78" s="5" t="s">
        <v>324</v>
      </c>
      <c r="J78" s="2" t="s">
        <v>324</v>
      </c>
    </row>
    <row r="79" spans="1:10" x14ac:dyDescent="0.25">
      <c r="A79" s="6" t="s">
        <v>240</v>
      </c>
      <c r="B79" s="3">
        <v>230</v>
      </c>
      <c r="C79" s="2" t="s">
        <v>343</v>
      </c>
      <c r="D79" s="3">
        <v>450</v>
      </c>
      <c r="E79" s="3">
        <v>220</v>
      </c>
      <c r="F79" s="1">
        <v>0.49</v>
      </c>
      <c r="G79" s="2" t="s">
        <v>339</v>
      </c>
      <c r="H79" s="4" t="s">
        <v>324</v>
      </c>
      <c r="I79" s="5" t="s">
        <v>324</v>
      </c>
      <c r="J79" s="2" t="s">
        <v>324</v>
      </c>
    </row>
    <row r="80" spans="1:10" x14ac:dyDescent="0.25">
      <c r="A80" s="6" t="s">
        <v>243</v>
      </c>
      <c r="B80" s="3">
        <v>1189</v>
      </c>
      <c r="C80" s="2" t="s">
        <v>336</v>
      </c>
      <c r="D80" s="3">
        <v>2199</v>
      </c>
      <c r="E80" s="3">
        <v>1010</v>
      </c>
      <c r="F80" s="1">
        <v>0.46</v>
      </c>
      <c r="G80" s="2" t="s">
        <v>339</v>
      </c>
      <c r="H80" s="4">
        <v>1</v>
      </c>
      <c r="I80" s="5">
        <v>3</v>
      </c>
      <c r="J80" s="2" t="s">
        <v>342</v>
      </c>
    </row>
    <row r="81" spans="1:10" x14ac:dyDescent="0.25">
      <c r="A81" s="6" t="s">
        <v>245</v>
      </c>
      <c r="B81" s="3">
        <v>979</v>
      </c>
      <c r="C81" s="2" t="s">
        <v>336</v>
      </c>
      <c r="D81" s="3">
        <v>1920</v>
      </c>
      <c r="E81" s="3">
        <v>941</v>
      </c>
      <c r="F81" s="1">
        <v>0.49</v>
      </c>
      <c r="G81" s="2" t="s">
        <v>339</v>
      </c>
      <c r="H81" s="4">
        <v>1</v>
      </c>
      <c r="I81" s="5">
        <v>5</v>
      </c>
      <c r="J81" s="2" t="s">
        <v>338</v>
      </c>
    </row>
    <row r="82" spans="1:10" x14ac:dyDescent="0.25">
      <c r="A82" s="6" t="s">
        <v>248</v>
      </c>
      <c r="B82" s="3">
        <v>1460</v>
      </c>
      <c r="C82" s="2" t="s">
        <v>336</v>
      </c>
      <c r="D82" s="3">
        <v>2290</v>
      </c>
      <c r="E82" s="3">
        <v>830</v>
      </c>
      <c r="F82" s="1">
        <v>0.36</v>
      </c>
      <c r="G82" s="2" t="s">
        <v>337</v>
      </c>
      <c r="H82" s="4" t="s">
        <v>324</v>
      </c>
      <c r="I82" s="5" t="s">
        <v>324</v>
      </c>
      <c r="J82" s="2" t="s">
        <v>324</v>
      </c>
    </row>
    <row r="83" spans="1:10" x14ac:dyDescent="0.25">
      <c r="A83" s="6" t="s">
        <v>251</v>
      </c>
      <c r="B83" s="3">
        <v>1666</v>
      </c>
      <c r="C83" s="2" t="s">
        <v>336</v>
      </c>
      <c r="D83" s="3">
        <v>1699</v>
      </c>
      <c r="E83" s="3">
        <v>33</v>
      </c>
      <c r="F83" s="1">
        <v>0.02</v>
      </c>
      <c r="G83" s="2" t="s">
        <v>341</v>
      </c>
      <c r="H83" s="4" t="s">
        <v>324</v>
      </c>
      <c r="I83" s="5" t="s">
        <v>324</v>
      </c>
      <c r="J83" s="2" t="s">
        <v>324</v>
      </c>
    </row>
    <row r="84" spans="1:10" x14ac:dyDescent="0.25">
      <c r="A84" s="6" t="s">
        <v>253</v>
      </c>
      <c r="B84" s="3">
        <v>330</v>
      </c>
      <c r="C84" s="2" t="s">
        <v>343</v>
      </c>
      <c r="D84" s="3">
        <v>647</v>
      </c>
      <c r="E84" s="3">
        <v>317</v>
      </c>
      <c r="F84" s="1">
        <v>0.49</v>
      </c>
      <c r="G84" s="2" t="s">
        <v>339</v>
      </c>
      <c r="H84" s="4">
        <v>1</v>
      </c>
      <c r="I84" s="5">
        <v>4</v>
      </c>
      <c r="J84" s="2" t="s">
        <v>342</v>
      </c>
    </row>
    <row r="85" spans="1:10" x14ac:dyDescent="0.25">
      <c r="A85" s="6" t="s">
        <v>154</v>
      </c>
      <c r="B85" s="3">
        <v>176</v>
      </c>
      <c r="C85" s="2" t="s">
        <v>343</v>
      </c>
      <c r="D85" s="3">
        <v>345</v>
      </c>
      <c r="E85" s="3">
        <v>169</v>
      </c>
      <c r="F85" s="1">
        <v>0.49</v>
      </c>
      <c r="G85" s="2" t="s">
        <v>339</v>
      </c>
      <c r="H85" s="4" t="s">
        <v>324</v>
      </c>
      <c r="I85" s="5" t="s">
        <v>324</v>
      </c>
      <c r="J85" s="2" t="s">
        <v>324</v>
      </c>
    </row>
    <row r="86" spans="1:10" x14ac:dyDescent="0.25">
      <c r="A86" s="6" t="s">
        <v>256</v>
      </c>
      <c r="B86" s="3">
        <v>1466</v>
      </c>
      <c r="C86" s="2" t="s">
        <v>336</v>
      </c>
      <c r="D86" s="3">
        <v>1699</v>
      </c>
      <c r="E86" s="3">
        <v>233</v>
      </c>
      <c r="F86" s="1">
        <v>0.14000000000000001</v>
      </c>
      <c r="G86" s="2" t="s">
        <v>341</v>
      </c>
      <c r="H86" s="4" t="s">
        <v>324</v>
      </c>
      <c r="I86" s="5" t="s">
        <v>324</v>
      </c>
      <c r="J86" s="2" t="s">
        <v>324</v>
      </c>
    </row>
    <row r="87" spans="1:10" x14ac:dyDescent="0.25">
      <c r="A87" s="6" t="s">
        <v>258</v>
      </c>
      <c r="B87" s="3">
        <v>274</v>
      </c>
      <c r="C87" s="2" t="s">
        <v>343</v>
      </c>
      <c r="D87" s="3">
        <v>537</v>
      </c>
      <c r="E87" s="3">
        <v>263</v>
      </c>
      <c r="F87" s="1">
        <v>0.49</v>
      </c>
      <c r="G87" s="2" t="s">
        <v>339</v>
      </c>
      <c r="H87" s="4" t="s">
        <v>324</v>
      </c>
      <c r="I87" s="5" t="s">
        <v>324</v>
      </c>
      <c r="J87" s="2" t="s">
        <v>324</v>
      </c>
    </row>
    <row r="88" spans="1:10" x14ac:dyDescent="0.25">
      <c r="A88" s="6" t="s">
        <v>261</v>
      </c>
      <c r="B88" s="3">
        <v>799</v>
      </c>
      <c r="C88" s="2" t="s">
        <v>336</v>
      </c>
      <c r="D88" s="3">
        <v>900</v>
      </c>
      <c r="E88" s="3">
        <v>101</v>
      </c>
      <c r="F88" s="1">
        <v>0.11</v>
      </c>
      <c r="G88" s="2" t="s">
        <v>341</v>
      </c>
      <c r="H88" s="4" t="s">
        <v>324</v>
      </c>
      <c r="I88" s="5" t="s">
        <v>324</v>
      </c>
      <c r="J88" s="2" t="s">
        <v>324</v>
      </c>
    </row>
    <row r="89" spans="1:10" x14ac:dyDescent="0.25">
      <c r="A89" s="6" t="s">
        <v>175</v>
      </c>
      <c r="B89" s="3">
        <v>657</v>
      </c>
      <c r="C89" s="2" t="s">
        <v>336</v>
      </c>
      <c r="D89" s="3">
        <v>1288</v>
      </c>
      <c r="E89" s="3">
        <v>631</v>
      </c>
      <c r="F89" s="1">
        <v>0.49</v>
      </c>
      <c r="G89" s="2" t="s">
        <v>339</v>
      </c>
      <c r="H89" s="4" t="s">
        <v>324</v>
      </c>
      <c r="I89" s="5" t="s">
        <v>324</v>
      </c>
      <c r="J89" s="2" t="s">
        <v>324</v>
      </c>
    </row>
    <row r="90" spans="1:10" x14ac:dyDescent="0.25">
      <c r="A90" s="6" t="s">
        <v>264</v>
      </c>
      <c r="B90" s="3">
        <v>1468</v>
      </c>
      <c r="C90" s="2" t="s">
        <v>336</v>
      </c>
      <c r="D90" s="3">
        <v>1699</v>
      </c>
      <c r="E90" s="3">
        <v>231</v>
      </c>
      <c r="F90" s="1">
        <v>0.14000000000000001</v>
      </c>
      <c r="G90" s="2" t="s">
        <v>341</v>
      </c>
      <c r="H90" s="4" t="s">
        <v>324</v>
      </c>
      <c r="I90" s="5" t="s">
        <v>324</v>
      </c>
      <c r="J90" s="2" t="s">
        <v>324</v>
      </c>
    </row>
    <row r="91" spans="1:10" x14ac:dyDescent="0.25">
      <c r="A91" s="6" t="s">
        <v>266</v>
      </c>
      <c r="B91" s="3">
        <v>630</v>
      </c>
      <c r="C91" s="2" t="s">
        <v>336</v>
      </c>
      <c r="D91" s="3">
        <v>1100</v>
      </c>
      <c r="E91" s="3">
        <v>470</v>
      </c>
      <c r="F91" s="1">
        <v>0.43</v>
      </c>
      <c r="G91" s="2" t="s">
        <v>339</v>
      </c>
      <c r="H91" s="4" t="s">
        <v>324</v>
      </c>
      <c r="I91" s="5" t="s">
        <v>324</v>
      </c>
      <c r="J91" s="2" t="s">
        <v>324</v>
      </c>
    </row>
    <row r="92" spans="1:10" x14ac:dyDescent="0.25">
      <c r="A92" s="6" t="s">
        <v>269</v>
      </c>
      <c r="B92" s="3">
        <v>850</v>
      </c>
      <c r="C92" s="2" t="s">
        <v>336</v>
      </c>
      <c r="D92" s="3">
        <v>1700</v>
      </c>
      <c r="E92" s="3">
        <v>850</v>
      </c>
      <c r="F92" s="1">
        <v>0.5</v>
      </c>
      <c r="G92" s="2" t="s">
        <v>339</v>
      </c>
      <c r="H92" s="4" t="s">
        <v>324</v>
      </c>
      <c r="I92" s="5" t="s">
        <v>324</v>
      </c>
      <c r="J92" s="2" t="s">
        <v>324</v>
      </c>
    </row>
    <row r="93" spans="1:10" x14ac:dyDescent="0.25">
      <c r="A93" s="6" t="s">
        <v>272</v>
      </c>
      <c r="B93" s="3">
        <v>1300</v>
      </c>
      <c r="C93" s="2" t="s">
        <v>336</v>
      </c>
      <c r="D93" s="3">
        <v>2500</v>
      </c>
      <c r="E93" s="3">
        <v>1200</v>
      </c>
      <c r="F93" s="1">
        <v>0.48</v>
      </c>
      <c r="G93" s="2" t="s">
        <v>339</v>
      </c>
      <c r="H93" s="4" t="s">
        <v>324</v>
      </c>
      <c r="I93" s="5" t="s">
        <v>324</v>
      </c>
      <c r="J93" s="2" t="s">
        <v>324</v>
      </c>
    </row>
    <row r="94" spans="1:10" x14ac:dyDescent="0.25">
      <c r="A94" s="6" t="s">
        <v>274</v>
      </c>
      <c r="B94" s="3">
        <v>105</v>
      </c>
      <c r="C94" s="2" t="s">
        <v>343</v>
      </c>
      <c r="D94" s="3">
        <v>200</v>
      </c>
      <c r="E94" s="3">
        <v>95</v>
      </c>
      <c r="F94" s="1">
        <v>0.48</v>
      </c>
      <c r="G94" s="2" t="s">
        <v>339</v>
      </c>
      <c r="H94" s="4" t="s">
        <v>324</v>
      </c>
      <c r="I94" s="5" t="s">
        <v>324</v>
      </c>
      <c r="J94" s="2" t="s">
        <v>324</v>
      </c>
    </row>
    <row r="95" spans="1:10" x14ac:dyDescent="0.25">
      <c r="A95" s="6" t="s">
        <v>277</v>
      </c>
      <c r="B95" s="3">
        <v>899</v>
      </c>
      <c r="C95" s="2" t="s">
        <v>336</v>
      </c>
      <c r="D95" s="3">
        <v>1699</v>
      </c>
      <c r="E95" s="3">
        <v>800</v>
      </c>
      <c r="F95" s="1">
        <v>0.47</v>
      </c>
      <c r="G95" s="2" t="s">
        <v>339</v>
      </c>
      <c r="H95" s="4" t="s">
        <v>324</v>
      </c>
      <c r="I95" s="5" t="s">
        <v>324</v>
      </c>
      <c r="J95" s="2" t="s">
        <v>324</v>
      </c>
    </row>
    <row r="96" spans="1:10" x14ac:dyDescent="0.25">
      <c r="A96" s="6" t="s">
        <v>278</v>
      </c>
      <c r="B96" s="3">
        <v>1200</v>
      </c>
      <c r="C96" s="2" t="s">
        <v>336</v>
      </c>
      <c r="D96" s="3">
        <v>2400</v>
      </c>
      <c r="E96" s="3">
        <v>1200</v>
      </c>
      <c r="F96" s="1">
        <v>0.5</v>
      </c>
      <c r="G96" s="2" t="s">
        <v>339</v>
      </c>
      <c r="H96" s="4" t="s">
        <v>324</v>
      </c>
      <c r="I96" s="5" t="s">
        <v>324</v>
      </c>
      <c r="J96" s="2" t="s">
        <v>324</v>
      </c>
    </row>
    <row r="97" spans="1:10" x14ac:dyDescent="0.25">
      <c r="A97" s="6" t="s">
        <v>280</v>
      </c>
      <c r="B97" s="3">
        <v>1526</v>
      </c>
      <c r="C97" s="2" t="s">
        <v>336</v>
      </c>
      <c r="D97" s="3">
        <v>1660</v>
      </c>
      <c r="E97" s="3">
        <v>134</v>
      </c>
      <c r="F97" s="1">
        <v>0.08</v>
      </c>
      <c r="G97" s="2" t="s">
        <v>341</v>
      </c>
      <c r="H97" s="4" t="s">
        <v>324</v>
      </c>
      <c r="I97" s="5" t="s">
        <v>324</v>
      </c>
      <c r="J97" s="2" t="s">
        <v>324</v>
      </c>
    </row>
    <row r="98" spans="1:10" x14ac:dyDescent="0.25">
      <c r="A98" s="6" t="s">
        <v>282</v>
      </c>
      <c r="B98" s="3">
        <v>1462</v>
      </c>
      <c r="C98" s="2" t="s">
        <v>336</v>
      </c>
      <c r="D98" s="3">
        <v>1499</v>
      </c>
      <c r="E98" s="3">
        <v>37</v>
      </c>
      <c r="F98" s="1">
        <v>0.02</v>
      </c>
      <c r="G98" s="2" t="s">
        <v>341</v>
      </c>
      <c r="H98" s="4" t="s">
        <v>324</v>
      </c>
      <c r="I98" s="5" t="s">
        <v>324</v>
      </c>
      <c r="J98" s="2" t="s">
        <v>324</v>
      </c>
    </row>
    <row r="99" spans="1:10" x14ac:dyDescent="0.25">
      <c r="A99" s="6" t="s">
        <v>284</v>
      </c>
      <c r="B99" s="3">
        <v>248</v>
      </c>
      <c r="C99" s="2" t="s">
        <v>343</v>
      </c>
      <c r="D99" s="3">
        <v>486</v>
      </c>
      <c r="E99" s="3">
        <v>238</v>
      </c>
      <c r="F99" s="1">
        <v>0.49</v>
      </c>
      <c r="G99" s="2" t="s">
        <v>339</v>
      </c>
      <c r="H99" s="4" t="s">
        <v>324</v>
      </c>
      <c r="I99" s="5" t="s">
        <v>324</v>
      </c>
      <c r="J99" s="2" t="s">
        <v>324</v>
      </c>
    </row>
    <row r="100" spans="1:10" x14ac:dyDescent="0.25">
      <c r="A100" s="6" t="s">
        <v>287</v>
      </c>
      <c r="B100" s="3">
        <v>3546</v>
      </c>
      <c r="C100" s="2" t="s">
        <v>340</v>
      </c>
      <c r="D100" s="3">
        <v>3699</v>
      </c>
      <c r="E100" s="3">
        <v>153</v>
      </c>
      <c r="F100" s="1">
        <v>0.04</v>
      </c>
      <c r="G100" s="2" t="s">
        <v>341</v>
      </c>
      <c r="H100" s="4" t="s">
        <v>324</v>
      </c>
      <c r="I100" s="5" t="s">
        <v>324</v>
      </c>
      <c r="J100" s="2" t="s">
        <v>324</v>
      </c>
    </row>
    <row r="101" spans="1:10" x14ac:dyDescent="0.25">
      <c r="A101" s="6" t="s">
        <v>289</v>
      </c>
      <c r="B101" s="3">
        <v>525</v>
      </c>
      <c r="C101" s="2" t="s">
        <v>336</v>
      </c>
      <c r="D101" s="3">
        <v>1029</v>
      </c>
      <c r="E101" s="3">
        <v>504</v>
      </c>
      <c r="F101" s="1">
        <v>0.49</v>
      </c>
      <c r="G101" s="2" t="s">
        <v>339</v>
      </c>
      <c r="H101" s="4" t="s">
        <v>324</v>
      </c>
      <c r="I101" s="5" t="s">
        <v>324</v>
      </c>
      <c r="J101" s="2" t="s">
        <v>324</v>
      </c>
    </row>
    <row r="102" spans="1:10" x14ac:dyDescent="0.25">
      <c r="A102" s="6" t="s">
        <v>292</v>
      </c>
      <c r="B102" s="3">
        <v>1080</v>
      </c>
      <c r="C102" s="2" t="s">
        <v>336</v>
      </c>
      <c r="D102" s="3">
        <v>1874</v>
      </c>
      <c r="E102" s="3">
        <v>794</v>
      </c>
      <c r="F102" s="1">
        <v>0.42</v>
      </c>
      <c r="G102" s="2" t="s">
        <v>339</v>
      </c>
      <c r="H102" s="4" t="s">
        <v>324</v>
      </c>
      <c r="I102" s="5" t="s">
        <v>324</v>
      </c>
      <c r="J102" s="2" t="s">
        <v>324</v>
      </c>
    </row>
    <row r="103" spans="1:10" x14ac:dyDescent="0.25">
      <c r="A103" s="6" t="s">
        <v>295</v>
      </c>
      <c r="B103" s="3">
        <v>3640</v>
      </c>
      <c r="C103" s="2" t="s">
        <v>340</v>
      </c>
      <c r="D103" s="3">
        <v>4588</v>
      </c>
      <c r="E103" s="3">
        <v>948</v>
      </c>
      <c r="F103" s="1">
        <v>0.21</v>
      </c>
      <c r="G103" s="2" t="s">
        <v>337</v>
      </c>
      <c r="H103" s="4">
        <v>1</v>
      </c>
      <c r="I103" s="5">
        <v>5</v>
      </c>
      <c r="J103" s="2" t="s">
        <v>338</v>
      </c>
    </row>
    <row r="104" spans="1:10" x14ac:dyDescent="0.25">
      <c r="A104" s="6" t="s">
        <v>298</v>
      </c>
      <c r="B104" s="3">
        <v>1420</v>
      </c>
      <c r="C104" s="2" t="s">
        <v>336</v>
      </c>
      <c r="D104" s="3">
        <v>2420</v>
      </c>
      <c r="E104" s="3">
        <v>1000</v>
      </c>
      <c r="F104" s="1">
        <v>0.41</v>
      </c>
      <c r="G104" s="2" t="s">
        <v>339</v>
      </c>
      <c r="H104" s="4" t="s">
        <v>324</v>
      </c>
      <c r="I104" s="5" t="s">
        <v>324</v>
      </c>
      <c r="J104" s="2" t="s">
        <v>324</v>
      </c>
    </row>
    <row r="105" spans="1:10" x14ac:dyDescent="0.25">
      <c r="A105" s="6" t="s">
        <v>301</v>
      </c>
      <c r="B105" s="3">
        <v>1875</v>
      </c>
      <c r="C105" s="2" t="s">
        <v>340</v>
      </c>
      <c r="D105" s="3">
        <v>1899</v>
      </c>
      <c r="E105" s="3">
        <v>24</v>
      </c>
      <c r="F105" s="1">
        <v>0.01</v>
      </c>
      <c r="G105" s="2" t="s">
        <v>341</v>
      </c>
      <c r="H105" s="4" t="s">
        <v>324</v>
      </c>
      <c r="I105" s="5" t="s">
        <v>324</v>
      </c>
      <c r="J105" s="2" t="s">
        <v>324</v>
      </c>
    </row>
    <row r="106" spans="1:10" x14ac:dyDescent="0.25">
      <c r="A106" s="6" t="s">
        <v>304</v>
      </c>
      <c r="B106" s="3">
        <v>198</v>
      </c>
      <c r="C106" s="2" t="s">
        <v>343</v>
      </c>
      <c r="D106" s="3">
        <v>260</v>
      </c>
      <c r="E106" s="3">
        <v>62</v>
      </c>
      <c r="F106" s="1">
        <v>0.24</v>
      </c>
      <c r="G106" s="2" t="s">
        <v>337</v>
      </c>
      <c r="H106" s="4" t="s">
        <v>324</v>
      </c>
      <c r="I106" s="5" t="s">
        <v>324</v>
      </c>
      <c r="J106" s="2" t="s">
        <v>324</v>
      </c>
    </row>
    <row r="107" spans="1:10" x14ac:dyDescent="0.25">
      <c r="A107" s="6" t="s">
        <v>307</v>
      </c>
      <c r="B107" s="3">
        <v>1150</v>
      </c>
      <c r="C107" s="2" t="s">
        <v>336</v>
      </c>
      <c r="D107" s="3">
        <v>1737</v>
      </c>
      <c r="E107" s="3">
        <v>587</v>
      </c>
      <c r="F107" s="1">
        <v>0.34</v>
      </c>
      <c r="G107" s="2" t="s">
        <v>337</v>
      </c>
      <c r="H107" s="4" t="s">
        <v>324</v>
      </c>
      <c r="I107" s="5" t="s">
        <v>324</v>
      </c>
      <c r="J107" s="2" t="s">
        <v>324</v>
      </c>
    </row>
    <row r="108" spans="1:10" x14ac:dyDescent="0.25">
      <c r="A108" s="6" t="s">
        <v>310</v>
      </c>
      <c r="B108" s="3">
        <v>1190</v>
      </c>
      <c r="C108" s="2" t="s">
        <v>336</v>
      </c>
      <c r="D108" s="3">
        <v>1810</v>
      </c>
      <c r="E108" s="3">
        <v>620</v>
      </c>
      <c r="F108" s="1">
        <v>0.34</v>
      </c>
      <c r="G108" s="2" t="s">
        <v>337</v>
      </c>
      <c r="H108" s="4" t="s">
        <v>324</v>
      </c>
      <c r="I108" s="5" t="s">
        <v>324</v>
      </c>
      <c r="J108" s="2" t="s">
        <v>324</v>
      </c>
    </row>
    <row r="109" spans="1:10" x14ac:dyDescent="0.25">
      <c r="A109" s="6" t="s">
        <v>312</v>
      </c>
      <c r="B109" s="3">
        <v>1658</v>
      </c>
      <c r="C109" s="2" t="s">
        <v>336</v>
      </c>
      <c r="D109" s="3">
        <v>1699</v>
      </c>
      <c r="E109" s="3">
        <v>41</v>
      </c>
      <c r="F109" s="1">
        <v>0.02</v>
      </c>
      <c r="G109" s="2" t="s">
        <v>341</v>
      </c>
      <c r="H109" s="4" t="s">
        <v>324</v>
      </c>
      <c r="I109" s="5" t="s">
        <v>324</v>
      </c>
      <c r="J109" s="2" t="s">
        <v>324</v>
      </c>
    </row>
    <row r="110" spans="1:10" x14ac:dyDescent="0.25">
      <c r="A110" s="6" t="s">
        <v>314</v>
      </c>
      <c r="B110" s="3">
        <v>1768</v>
      </c>
      <c r="C110" s="2" t="s">
        <v>340</v>
      </c>
      <c r="D110" s="3">
        <v>1799</v>
      </c>
      <c r="E110" s="3">
        <v>31</v>
      </c>
      <c r="F110" s="1">
        <v>0.02</v>
      </c>
      <c r="G110" s="2" t="s">
        <v>341</v>
      </c>
      <c r="H110" s="4" t="s">
        <v>324</v>
      </c>
      <c r="I110" s="5" t="s">
        <v>324</v>
      </c>
      <c r="J110" s="2" t="s">
        <v>324</v>
      </c>
    </row>
    <row r="111" spans="1:10" x14ac:dyDescent="0.25">
      <c r="A111" s="6" t="s">
        <v>316</v>
      </c>
      <c r="B111" s="3">
        <v>199</v>
      </c>
      <c r="C111" s="2" t="s">
        <v>343</v>
      </c>
      <c r="D111" s="3">
        <v>553</v>
      </c>
      <c r="E111" s="3">
        <v>354</v>
      </c>
      <c r="F111" s="1">
        <v>0.64</v>
      </c>
      <c r="G111" s="2" t="s">
        <v>339</v>
      </c>
      <c r="H111" s="4" t="s">
        <v>324</v>
      </c>
      <c r="I111" s="5" t="s">
        <v>324</v>
      </c>
      <c r="J111" s="2" t="s">
        <v>324</v>
      </c>
    </row>
    <row r="112" spans="1:10" x14ac:dyDescent="0.25">
      <c r="A112" s="6" t="s">
        <v>318</v>
      </c>
      <c r="B112" s="3">
        <v>450</v>
      </c>
      <c r="C112" s="2" t="s">
        <v>343</v>
      </c>
      <c r="D112" s="3">
        <v>900</v>
      </c>
      <c r="E112" s="3">
        <v>450</v>
      </c>
      <c r="F112" s="1">
        <v>0.5</v>
      </c>
      <c r="G112" s="2" t="s">
        <v>339</v>
      </c>
      <c r="H112" s="4">
        <v>1</v>
      </c>
      <c r="I112" s="5">
        <v>2</v>
      </c>
      <c r="J112" s="2" t="s">
        <v>344</v>
      </c>
    </row>
    <row r="113" spans="1:10" x14ac:dyDescent="0.25">
      <c r="A113" s="6" t="s">
        <v>320</v>
      </c>
      <c r="B113" s="3">
        <v>169</v>
      </c>
      <c r="C113" s="2" t="s">
        <v>343</v>
      </c>
      <c r="D113" s="3">
        <v>320</v>
      </c>
      <c r="E113" s="3">
        <v>151</v>
      </c>
      <c r="F113" s="1">
        <v>0.47</v>
      </c>
      <c r="G113" s="2" t="s">
        <v>339</v>
      </c>
      <c r="H113" s="4" t="s">
        <v>324</v>
      </c>
      <c r="I113" s="5" t="s">
        <v>324</v>
      </c>
      <c r="J113" s="2" t="s">
        <v>324</v>
      </c>
    </row>
    <row r="115" spans="1:10" x14ac:dyDescent="0.25">
      <c r="A115" s="6">
        <f>COUNTA(A2:A113)</f>
        <v>112</v>
      </c>
      <c r="B115" s="3">
        <f>AVERAGE(B2:B113)</f>
        <v>1186.8928571428571</v>
      </c>
      <c r="D115" s="3">
        <f>AVERAGE(D2:D113)</f>
        <v>1811.1071428571429</v>
      </c>
      <c r="F115" s="1">
        <f>AVERAGE(F2:F113)</f>
        <v>0.36776785714285715</v>
      </c>
      <c r="H115" s="4">
        <f>SUM(H2:H113)</f>
        <v>723</v>
      </c>
      <c r="I115" s="5">
        <f>AVERAGE(I2:I113)</f>
        <v>3.8894736842105258</v>
      </c>
    </row>
    <row r="116" spans="1:10" x14ac:dyDescent="0.25">
      <c r="B116" s="3">
        <f>MAX(B2:B113)</f>
        <v>3750</v>
      </c>
    </row>
    <row r="117" spans="1:10" x14ac:dyDescent="0.25">
      <c r="B117" s="3">
        <f>MIN(B2:B113)</f>
        <v>38</v>
      </c>
    </row>
  </sheetData>
  <autoFilter ref="A1:J1" xr:uid="{63BB7D90-8567-4074-BA6D-CB8ED460E09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F75C-AA3D-4019-98FF-C86B627E644E}">
  <dimension ref="A1:L113"/>
  <sheetViews>
    <sheetView zoomScale="81" zoomScaleNormal="78" workbookViewId="0">
      <selection activeCell="I2" sqref="I2:I113"/>
    </sheetView>
  </sheetViews>
  <sheetFormatPr defaultRowHeight="15" x14ac:dyDescent="0.25"/>
  <cols>
    <col min="1" max="1" width="95.7109375" bestFit="1" customWidth="1"/>
    <col min="2" max="2" width="12.5703125" style="3" bestFit="1" customWidth="1"/>
    <col min="3" max="3" width="13.85546875" style="2" bestFit="1" customWidth="1"/>
    <col min="4" max="4" width="12" style="3" bestFit="1" customWidth="1"/>
    <col min="5" max="5" width="16.42578125" style="3" bestFit="1" customWidth="1"/>
    <col min="6" max="6" width="8.7109375" style="1" bestFit="1" customWidth="1"/>
    <col min="7" max="7" width="17.28515625" style="2" bestFit="1" customWidth="1"/>
    <col min="8" max="8" width="11" style="4" bestFit="1" customWidth="1"/>
    <col min="9" max="9" width="20" style="4" bestFit="1" customWidth="1"/>
    <col min="10" max="10" width="9.140625" style="5"/>
    <col min="11" max="11" width="15" style="2" bestFit="1" customWidth="1"/>
    <col min="12" max="12" width="20" style="2" bestFit="1" customWidth="1"/>
  </cols>
  <sheetData>
    <row r="1" spans="1:12" x14ac:dyDescent="0.25">
      <c r="A1" t="s">
        <v>0</v>
      </c>
      <c r="B1" s="3" t="s">
        <v>1</v>
      </c>
      <c r="C1" s="2" t="s">
        <v>335</v>
      </c>
      <c r="D1" s="3" t="s">
        <v>331</v>
      </c>
      <c r="E1" s="3" t="s">
        <v>332</v>
      </c>
      <c r="F1" s="1" t="s">
        <v>3</v>
      </c>
      <c r="G1" s="2" t="s">
        <v>334</v>
      </c>
      <c r="H1" s="4" t="s">
        <v>4</v>
      </c>
      <c r="I1" s="4" t="s">
        <v>351</v>
      </c>
      <c r="J1" s="5" t="s">
        <v>323</v>
      </c>
      <c r="K1" s="2" t="s">
        <v>333</v>
      </c>
      <c r="L1" s="2" t="s">
        <v>347</v>
      </c>
    </row>
    <row r="2" spans="1:12" x14ac:dyDescent="0.25">
      <c r="A2" t="s">
        <v>325</v>
      </c>
      <c r="B2" s="3">
        <v>950</v>
      </c>
      <c r="C2" s="2" t="s">
        <v>336</v>
      </c>
      <c r="D2" s="3">
        <v>1525</v>
      </c>
      <c r="E2" s="3">
        <v>575</v>
      </c>
      <c r="F2" s="1">
        <v>0.38</v>
      </c>
      <c r="G2" s="2" t="s">
        <v>337</v>
      </c>
      <c r="H2" s="4">
        <v>2</v>
      </c>
      <c r="I2" s="4" t="str">
        <f>IF(OR(H2="",H2="Unknown"),"Unknown",IF(H2&lt;=Review_Q1,"Low Reviews",IF(H2&lt;=Review_Q3,"Medium Reviews","High Reviews")))</f>
        <v>Low Reviews</v>
      </c>
      <c r="J2" s="5">
        <v>4.5</v>
      </c>
      <c r="K2" s="2" t="s">
        <v>338</v>
      </c>
      <c r="L2" s="2" t="s">
        <v>348</v>
      </c>
    </row>
    <row r="3" spans="1:12" x14ac:dyDescent="0.25">
      <c r="A3" t="s">
        <v>10</v>
      </c>
      <c r="B3" s="3">
        <v>527</v>
      </c>
      <c r="C3" s="2" t="s">
        <v>336</v>
      </c>
      <c r="D3" s="3">
        <v>999</v>
      </c>
      <c r="E3" s="3">
        <v>472</v>
      </c>
      <c r="F3" s="1">
        <v>0.47</v>
      </c>
      <c r="G3" s="2" t="s">
        <v>339</v>
      </c>
      <c r="H3" s="4">
        <v>14</v>
      </c>
      <c r="I3" s="4" t="str">
        <f>IF(OR(H3="",H3="Unknown"),"Unknown",IF(H3&lt;=Review_Q1,"Low Reviews",IF(H3&lt;=Review_Q3,"Medium Reviews","High Reviews")))</f>
        <v>Medium Reviews</v>
      </c>
      <c r="J3" s="5">
        <v>4.0999999999999996</v>
      </c>
      <c r="K3" s="2" t="s">
        <v>338</v>
      </c>
      <c r="L3" s="2" t="s">
        <v>349</v>
      </c>
    </row>
    <row r="4" spans="1:12" x14ac:dyDescent="0.25">
      <c r="A4" t="s">
        <v>14</v>
      </c>
      <c r="B4" s="3">
        <v>2199</v>
      </c>
      <c r="C4" s="2" t="s">
        <v>340</v>
      </c>
      <c r="D4" s="3">
        <v>2923</v>
      </c>
      <c r="E4" s="3">
        <v>724</v>
      </c>
      <c r="F4" s="1">
        <v>0.25</v>
      </c>
      <c r="G4" s="2" t="s">
        <v>337</v>
      </c>
      <c r="H4" s="4">
        <v>24</v>
      </c>
      <c r="I4" s="4" t="str">
        <f>IF(OR(H4="",H4="Unknown"),"Unknown",IF(H4&lt;=Review_Q1,"Low Reviews",IF(H4&lt;=Review_Q3,"Medium Reviews","High Reviews")))</f>
        <v>High Reviews</v>
      </c>
      <c r="J4" s="5">
        <v>4.5999999999999996</v>
      </c>
      <c r="K4" s="2" t="s">
        <v>338</v>
      </c>
      <c r="L4" s="2" t="s">
        <v>349</v>
      </c>
    </row>
    <row r="5" spans="1:12" x14ac:dyDescent="0.25">
      <c r="A5" t="s">
        <v>18</v>
      </c>
      <c r="B5" s="3">
        <v>1580</v>
      </c>
      <c r="C5" s="2" t="s">
        <v>336</v>
      </c>
      <c r="D5" s="3">
        <v>2499</v>
      </c>
      <c r="E5" s="3">
        <v>919</v>
      </c>
      <c r="F5" s="1">
        <v>0.37</v>
      </c>
      <c r="G5" s="2" t="s">
        <v>337</v>
      </c>
      <c r="H5" s="4">
        <v>7</v>
      </c>
      <c r="I5" s="4" t="str">
        <f>IF(OR(H5="",H5="Unknown"),"Unknown",IF(H5&lt;=Review_Q1,"Low Reviews",IF(H5&lt;=Review_Q3,"Medium Reviews","High Reviews")))</f>
        <v>Medium Reviews</v>
      </c>
      <c r="J5" s="5">
        <v>4.7</v>
      </c>
      <c r="K5" s="2" t="s">
        <v>338</v>
      </c>
      <c r="L5" s="2" t="s">
        <v>350</v>
      </c>
    </row>
    <row r="6" spans="1:12" x14ac:dyDescent="0.25">
      <c r="A6" t="s">
        <v>22</v>
      </c>
      <c r="B6" s="3">
        <v>1740</v>
      </c>
      <c r="C6" s="2" t="s">
        <v>340</v>
      </c>
      <c r="D6" s="3">
        <v>2356</v>
      </c>
      <c r="E6" s="3">
        <v>616</v>
      </c>
      <c r="F6" s="1">
        <v>0.26</v>
      </c>
      <c r="G6" s="2" t="s">
        <v>337</v>
      </c>
      <c r="H6" s="4">
        <v>5</v>
      </c>
      <c r="I6" s="4" t="str">
        <f>IF(OR(H6="",H6="Unknown"),"Unknown",IF(H6&lt;=Review_Q1,"Low Reviews",IF(H6&lt;=Review_Q3,"Medium Reviews","High Reviews")))</f>
        <v>Low Reviews</v>
      </c>
      <c r="J6" s="5">
        <v>4.8</v>
      </c>
      <c r="K6" s="2" t="s">
        <v>338</v>
      </c>
      <c r="L6" s="2" t="s">
        <v>348</v>
      </c>
    </row>
    <row r="7" spans="1:12" x14ac:dyDescent="0.25">
      <c r="A7" t="s">
        <v>26</v>
      </c>
      <c r="B7" s="3">
        <v>2999</v>
      </c>
      <c r="C7" s="2" t="s">
        <v>340</v>
      </c>
      <c r="D7" s="3">
        <v>3290</v>
      </c>
      <c r="E7" s="3">
        <v>291</v>
      </c>
      <c r="F7" s="1">
        <v>0.09</v>
      </c>
      <c r="G7" s="2" t="s">
        <v>341</v>
      </c>
      <c r="H7" s="4">
        <v>15</v>
      </c>
      <c r="I7" s="4" t="str">
        <f>IF(OR(H7="",H7="Unknown"),"Unknown",IF(H7&lt;=Review_Q1,"Low Reviews",IF(H7&lt;=Review_Q3,"Medium Reviews","High Reviews")))</f>
        <v>High Reviews</v>
      </c>
      <c r="J7" s="5">
        <v>4</v>
      </c>
      <c r="K7" s="2" t="s">
        <v>342</v>
      </c>
      <c r="L7" s="2" t="s">
        <v>349</v>
      </c>
    </row>
    <row r="8" spans="1:12" x14ac:dyDescent="0.25">
      <c r="A8" t="s">
        <v>30</v>
      </c>
      <c r="B8" s="3">
        <v>2319</v>
      </c>
      <c r="C8" s="2" t="s">
        <v>340</v>
      </c>
      <c r="D8" s="3">
        <v>3032</v>
      </c>
      <c r="E8" s="3">
        <v>713</v>
      </c>
      <c r="F8" s="1">
        <v>0.24</v>
      </c>
      <c r="G8" s="2" t="s">
        <v>337</v>
      </c>
      <c r="H8" s="4">
        <v>55</v>
      </c>
      <c r="I8" s="4" t="str">
        <f>IF(OR(H8="",H8="Unknown"),"Unknown",IF(H8&lt;=Review_Q1,"Low Reviews",IF(H8&lt;=Review_Q3,"Medium Reviews","High Reviews")))</f>
        <v>High Reviews</v>
      </c>
      <c r="J8" s="5">
        <v>4.5999999999999996</v>
      </c>
      <c r="K8" s="2" t="s">
        <v>338</v>
      </c>
      <c r="L8" s="2" t="s">
        <v>349</v>
      </c>
    </row>
    <row r="9" spans="1:12" x14ac:dyDescent="0.25">
      <c r="A9" t="s">
        <v>33</v>
      </c>
      <c r="B9" s="3">
        <v>988</v>
      </c>
      <c r="C9" s="2" t="s">
        <v>336</v>
      </c>
      <c r="D9" s="3">
        <v>1580</v>
      </c>
      <c r="E9" s="3">
        <v>592</v>
      </c>
      <c r="F9" s="1">
        <v>0.37</v>
      </c>
      <c r="G9" s="2" t="s">
        <v>337</v>
      </c>
      <c r="H9" s="4">
        <v>2</v>
      </c>
      <c r="I9" s="4" t="str">
        <f>IF(OR(H9="",H9="Unknown"),"Unknown",IF(H9&lt;=Review_Q1,"Low Reviews",IF(H9&lt;=Review_Q3,"Medium Reviews","High Reviews")))</f>
        <v>Low Reviews</v>
      </c>
      <c r="J9" s="5">
        <v>4</v>
      </c>
      <c r="K9" s="2" t="s">
        <v>342</v>
      </c>
      <c r="L9" s="2" t="s">
        <v>348</v>
      </c>
    </row>
    <row r="10" spans="1:12" x14ac:dyDescent="0.25">
      <c r="A10" t="s">
        <v>35</v>
      </c>
      <c r="B10" s="3">
        <v>1274</v>
      </c>
      <c r="C10" s="2" t="s">
        <v>336</v>
      </c>
      <c r="D10" s="3">
        <v>2800</v>
      </c>
      <c r="E10" s="3">
        <v>1526</v>
      </c>
      <c r="F10" s="1">
        <v>0.55000000000000004</v>
      </c>
      <c r="G10" s="2" t="s">
        <v>339</v>
      </c>
      <c r="H10" s="4">
        <v>5</v>
      </c>
      <c r="I10" s="4" t="str">
        <f>IF(OR(H10="",H10="Unknown"),"Unknown",IF(H10&lt;=Review_Q1,"Low Reviews",IF(H10&lt;=Review_Q3,"Medium Reviews","High Reviews")))</f>
        <v>Low Reviews</v>
      </c>
      <c r="J10" s="5">
        <v>4.8</v>
      </c>
      <c r="K10" s="2" t="s">
        <v>338</v>
      </c>
      <c r="L10" s="2" t="s">
        <v>348</v>
      </c>
    </row>
    <row r="11" spans="1:12" x14ac:dyDescent="0.25">
      <c r="A11" t="s">
        <v>38</v>
      </c>
      <c r="B11" s="3">
        <v>1600</v>
      </c>
      <c r="C11" s="2" t="s">
        <v>336</v>
      </c>
      <c r="D11" s="3">
        <v>2929</v>
      </c>
      <c r="E11" s="3">
        <v>1329</v>
      </c>
      <c r="F11" s="1">
        <v>0.45</v>
      </c>
      <c r="G11" s="2" t="s">
        <v>339</v>
      </c>
      <c r="H11" s="4">
        <v>5</v>
      </c>
      <c r="I11" s="4" t="str">
        <f>IF(OR(H11="",H11="Unknown"),"Unknown",IF(H11&lt;=Review_Q1,"Low Reviews",IF(H11&lt;=Review_Q3,"Medium Reviews","High Reviews")))</f>
        <v>Low Reviews</v>
      </c>
      <c r="J11" s="5">
        <v>3.8</v>
      </c>
      <c r="K11" s="2" t="s">
        <v>342</v>
      </c>
      <c r="L11" s="2" t="s">
        <v>348</v>
      </c>
    </row>
    <row r="12" spans="1:12" x14ac:dyDescent="0.25">
      <c r="A12" t="s">
        <v>42</v>
      </c>
      <c r="B12" s="3">
        <v>799</v>
      </c>
      <c r="C12" s="2" t="s">
        <v>336</v>
      </c>
      <c r="D12" s="3">
        <v>999</v>
      </c>
      <c r="E12" s="3">
        <v>200</v>
      </c>
      <c r="F12" s="1">
        <v>0.2</v>
      </c>
      <c r="G12" s="2" t="s">
        <v>337</v>
      </c>
      <c r="H12" s="4">
        <v>12</v>
      </c>
      <c r="I12" s="4" t="str">
        <f>IF(OR(H12="",H12="Unknown"),"Unknown",IF(H12&lt;=Review_Q1,"Low Reviews",IF(H12&lt;=Review_Q3,"Medium Reviews","High Reviews")))</f>
        <v>Medium Reviews</v>
      </c>
      <c r="J12" s="5">
        <v>4.0999999999999996</v>
      </c>
      <c r="K12" s="2" t="s">
        <v>338</v>
      </c>
      <c r="L12" s="2" t="s">
        <v>350</v>
      </c>
    </row>
    <row r="13" spans="1:12" x14ac:dyDescent="0.25">
      <c r="A13" t="s">
        <v>44</v>
      </c>
      <c r="B13" s="3">
        <v>990</v>
      </c>
      <c r="C13" s="2" t="s">
        <v>336</v>
      </c>
      <c r="D13" s="3">
        <v>1500</v>
      </c>
      <c r="E13" s="3">
        <v>510</v>
      </c>
      <c r="F13" s="1">
        <v>0.34</v>
      </c>
      <c r="G13" s="2" t="s">
        <v>337</v>
      </c>
      <c r="H13" s="4">
        <v>39</v>
      </c>
      <c r="I13" s="4" t="str">
        <f>IF(OR(H13="",H13="Unknown"),"Unknown",IF(H13&lt;=Review_Q1,"Low Reviews",IF(H13&lt;=Review_Q3,"Medium Reviews","High Reviews")))</f>
        <v>High Reviews</v>
      </c>
      <c r="J13" s="5">
        <v>4.7</v>
      </c>
      <c r="K13" s="2" t="s">
        <v>338</v>
      </c>
      <c r="L13" s="2" t="s">
        <v>349</v>
      </c>
    </row>
    <row r="14" spans="1:12" x14ac:dyDescent="0.25">
      <c r="A14" t="s">
        <v>47</v>
      </c>
      <c r="B14" s="3">
        <v>552</v>
      </c>
      <c r="C14" s="2" t="s">
        <v>336</v>
      </c>
      <c r="D14" s="3">
        <v>1035</v>
      </c>
      <c r="E14" s="3">
        <v>483</v>
      </c>
      <c r="F14" s="1">
        <v>0.47</v>
      </c>
      <c r="G14" s="2" t="s">
        <v>339</v>
      </c>
      <c r="H14" s="4">
        <v>12</v>
      </c>
      <c r="I14" s="4" t="str">
        <f>IF(OR(H14="",H14="Unknown"),"Unknown",IF(H14&lt;=Review_Q1,"Low Reviews",IF(H14&lt;=Review_Q3,"Medium Reviews","High Reviews")))</f>
        <v>Medium Reviews</v>
      </c>
      <c r="J14" s="5">
        <v>4.8</v>
      </c>
      <c r="K14" s="2" t="s">
        <v>338</v>
      </c>
      <c r="L14" s="2" t="s">
        <v>350</v>
      </c>
    </row>
    <row r="15" spans="1:12" x14ac:dyDescent="0.25">
      <c r="A15" t="s">
        <v>50</v>
      </c>
      <c r="B15" s="3">
        <v>501</v>
      </c>
      <c r="C15" s="2" t="s">
        <v>336</v>
      </c>
      <c r="D15" s="3">
        <v>860</v>
      </c>
      <c r="E15" s="3">
        <v>359</v>
      </c>
      <c r="F15" s="1">
        <v>0.42</v>
      </c>
      <c r="G15" s="2" t="s">
        <v>339</v>
      </c>
      <c r="H15" s="4">
        <v>6</v>
      </c>
      <c r="I15" s="4" t="str">
        <f>IF(OR(H15="",H15="Unknown"),"Unknown",IF(H15&lt;=Review_Q1,"Low Reviews",IF(H15&lt;=Review_Q3,"Medium Reviews","High Reviews")))</f>
        <v>Medium Reviews</v>
      </c>
      <c r="J15" s="5">
        <v>4.5</v>
      </c>
      <c r="K15" s="2" t="s">
        <v>338</v>
      </c>
      <c r="L15" s="2" t="s">
        <v>350</v>
      </c>
    </row>
    <row r="16" spans="1:12" x14ac:dyDescent="0.25">
      <c r="A16" t="s">
        <v>53</v>
      </c>
      <c r="B16" s="3">
        <v>1680</v>
      </c>
      <c r="C16" s="2" t="s">
        <v>340</v>
      </c>
      <c r="D16" s="3">
        <v>2499</v>
      </c>
      <c r="E16" s="3">
        <v>819</v>
      </c>
      <c r="F16" s="1">
        <v>0.33</v>
      </c>
      <c r="G16" s="2" t="s">
        <v>337</v>
      </c>
      <c r="H16" s="4">
        <v>9</v>
      </c>
      <c r="I16" s="4" t="str">
        <f>IF(OR(H16="",H16="Unknown"),"Unknown",IF(H16&lt;=Review_Q1,"Low Reviews",IF(H16&lt;=Review_Q3,"Medium Reviews","High Reviews")))</f>
        <v>Medium Reviews</v>
      </c>
      <c r="J16" s="5">
        <v>4.2</v>
      </c>
      <c r="K16" s="2" t="s">
        <v>338</v>
      </c>
      <c r="L16" s="2" t="s">
        <v>350</v>
      </c>
    </row>
    <row r="17" spans="1:12" x14ac:dyDescent="0.25">
      <c r="A17" t="s">
        <v>326</v>
      </c>
      <c r="B17" s="3">
        <v>332</v>
      </c>
      <c r="C17" s="2" t="s">
        <v>343</v>
      </c>
      <c r="D17" s="3">
        <v>684</v>
      </c>
      <c r="E17" s="3">
        <v>352</v>
      </c>
      <c r="F17" s="1">
        <v>0.51</v>
      </c>
      <c r="G17" s="2" t="s">
        <v>339</v>
      </c>
      <c r="H17" s="4">
        <v>2</v>
      </c>
      <c r="I17" s="4" t="str">
        <f>IF(OR(H17="",H17="Unknown"),"Unknown",IF(H17&lt;=Review_Q1,"Low Reviews",IF(H17&lt;=Review_Q3,"Medium Reviews","High Reviews")))</f>
        <v>Low Reviews</v>
      </c>
      <c r="J17" s="5">
        <v>5</v>
      </c>
      <c r="K17" s="2" t="s">
        <v>338</v>
      </c>
      <c r="L17" s="2" t="s">
        <v>348</v>
      </c>
    </row>
    <row r="18" spans="1:12" x14ac:dyDescent="0.25">
      <c r="A18" t="s">
        <v>327</v>
      </c>
      <c r="B18" s="3">
        <v>195</v>
      </c>
      <c r="C18" s="2" t="s">
        <v>343</v>
      </c>
      <c r="D18" s="3">
        <v>360</v>
      </c>
      <c r="E18" s="3">
        <v>165</v>
      </c>
      <c r="F18" s="1">
        <v>0.46</v>
      </c>
      <c r="G18" s="2" t="s">
        <v>339</v>
      </c>
      <c r="H18" s="4">
        <v>2</v>
      </c>
      <c r="I18" s="4" t="str">
        <f>IF(OR(H18="",H18="Unknown"),"Unknown",IF(H18&lt;=Review_Q1,"Low Reviews",IF(H18&lt;=Review_Q3,"Medium Reviews","High Reviews")))</f>
        <v>Low Reviews</v>
      </c>
      <c r="J18" s="5">
        <v>5</v>
      </c>
      <c r="K18" s="2" t="s">
        <v>338</v>
      </c>
      <c r="L18" s="2" t="s">
        <v>348</v>
      </c>
    </row>
    <row r="19" spans="1:12" x14ac:dyDescent="0.25">
      <c r="A19" t="s">
        <v>63</v>
      </c>
      <c r="B19" s="3">
        <v>2025</v>
      </c>
      <c r="C19" s="2" t="s">
        <v>340</v>
      </c>
      <c r="D19" s="3">
        <v>3971</v>
      </c>
      <c r="E19" s="3">
        <v>1946</v>
      </c>
      <c r="F19" s="1">
        <v>0.49</v>
      </c>
      <c r="G19" s="2" t="s">
        <v>339</v>
      </c>
      <c r="H19" s="4">
        <v>3</v>
      </c>
      <c r="I19" s="4" t="str">
        <f>IF(OR(H19="",H19="Unknown"),"Unknown",IF(H19&lt;=Review_Q1,"Low Reviews",IF(H19&lt;=Review_Q3,"Medium Reviews","High Reviews")))</f>
        <v>Low Reviews</v>
      </c>
      <c r="J19" s="5">
        <v>5</v>
      </c>
      <c r="K19" s="2" t="s">
        <v>338</v>
      </c>
      <c r="L19" s="2" t="s">
        <v>348</v>
      </c>
    </row>
    <row r="20" spans="1:12" x14ac:dyDescent="0.25">
      <c r="A20" t="s">
        <v>66</v>
      </c>
      <c r="B20" s="3">
        <v>2999</v>
      </c>
      <c r="C20" s="2" t="s">
        <v>340</v>
      </c>
      <c r="D20" s="3">
        <v>3699</v>
      </c>
      <c r="E20" s="3">
        <v>700</v>
      </c>
      <c r="F20" s="1">
        <v>0.19</v>
      </c>
      <c r="G20" s="2" t="s">
        <v>341</v>
      </c>
      <c r="H20" s="4">
        <v>5</v>
      </c>
      <c r="I20" s="4" t="str">
        <f>IF(OR(H20="",H20="Unknown"),"Unknown",IF(H20&lt;=Review_Q1,"Low Reviews",IF(H20&lt;=Review_Q3,"Medium Reviews","High Reviews")))</f>
        <v>Low Reviews</v>
      </c>
      <c r="J20" s="5">
        <v>4.5999999999999996</v>
      </c>
      <c r="K20" s="2" t="s">
        <v>338</v>
      </c>
      <c r="L20" s="2" t="s">
        <v>348</v>
      </c>
    </row>
    <row r="21" spans="1:12" x14ac:dyDescent="0.25">
      <c r="A21" t="s">
        <v>68</v>
      </c>
      <c r="B21" s="3">
        <v>998</v>
      </c>
      <c r="C21" s="2" t="s">
        <v>336</v>
      </c>
      <c r="D21" s="3">
        <v>1966</v>
      </c>
      <c r="E21" s="3">
        <v>968</v>
      </c>
      <c r="F21" s="1">
        <v>0.49</v>
      </c>
      <c r="G21" s="2" t="s">
        <v>339</v>
      </c>
      <c r="H21" s="4">
        <v>44</v>
      </c>
      <c r="I21" s="4" t="str">
        <f>IF(OR(H21="",H21="Unknown"),"Unknown",IF(H21&lt;=Review_Q1,"Low Reviews",IF(H21&lt;=Review_Q3,"Medium Reviews","High Reviews")))</f>
        <v>High Reviews</v>
      </c>
      <c r="J21" s="5">
        <v>4.5999999999999996</v>
      </c>
      <c r="K21" s="2" t="s">
        <v>338</v>
      </c>
      <c r="L21" s="2" t="s">
        <v>349</v>
      </c>
    </row>
    <row r="22" spans="1:12" x14ac:dyDescent="0.25">
      <c r="A22" t="s">
        <v>71</v>
      </c>
      <c r="B22" s="3">
        <v>38</v>
      </c>
      <c r="C22" s="2" t="s">
        <v>343</v>
      </c>
      <c r="D22" s="3">
        <v>80</v>
      </c>
      <c r="E22" s="3">
        <v>42</v>
      </c>
      <c r="F22" s="1">
        <v>0.53</v>
      </c>
      <c r="G22" s="2" t="s">
        <v>339</v>
      </c>
      <c r="H22" s="4">
        <v>13</v>
      </c>
      <c r="I22" s="4" t="str">
        <f>IF(OR(H22="",H22="Unknown"),"Unknown",IF(H22&lt;=Review_Q1,"Low Reviews",IF(H22&lt;=Review_Q3,"Medium Reviews","High Reviews")))</f>
        <v>Medium Reviews</v>
      </c>
      <c r="J22" s="5">
        <v>3.3</v>
      </c>
      <c r="K22" s="2" t="s">
        <v>342</v>
      </c>
      <c r="L22" s="2" t="s">
        <v>350</v>
      </c>
    </row>
    <row r="23" spans="1:12" x14ac:dyDescent="0.25">
      <c r="A23" t="s">
        <v>75</v>
      </c>
      <c r="B23" s="3">
        <v>1860</v>
      </c>
      <c r="C23" s="2" t="s">
        <v>340</v>
      </c>
      <c r="D23" s="3">
        <v>3220</v>
      </c>
      <c r="E23" s="3">
        <v>1360</v>
      </c>
      <c r="F23" s="1">
        <v>0.42</v>
      </c>
      <c r="G23" s="2" t="s">
        <v>339</v>
      </c>
      <c r="H23" s="4" t="s">
        <v>324</v>
      </c>
      <c r="I23" s="4" t="str">
        <f>IF(OR(H23="",H23="Unknown"),"Unknown",IF(H23&lt;=Review_Q1,"Low Reviews",IF(H23&lt;=Review_Q3,"Medium Reviews","High Reviews")))</f>
        <v>Unknown</v>
      </c>
      <c r="J23" s="5" t="s">
        <v>324</v>
      </c>
      <c r="K23" s="2" t="s">
        <v>324</v>
      </c>
      <c r="L23" s="2" t="s">
        <v>324</v>
      </c>
    </row>
    <row r="24" spans="1:12" x14ac:dyDescent="0.25">
      <c r="A24" t="s">
        <v>78</v>
      </c>
      <c r="B24" s="3">
        <v>880</v>
      </c>
      <c r="C24" s="2" t="s">
        <v>336</v>
      </c>
      <c r="D24" s="3">
        <v>1350</v>
      </c>
      <c r="E24" s="3">
        <v>470</v>
      </c>
      <c r="F24" s="1">
        <v>0.35</v>
      </c>
      <c r="G24" s="2" t="s">
        <v>337</v>
      </c>
      <c r="H24" s="4">
        <v>6</v>
      </c>
      <c r="I24" s="4" t="str">
        <f>IF(OR(H24="",H24="Unknown"),"Unknown",IF(H24&lt;=Review_Q1,"Low Reviews",IF(H24&lt;=Review_Q3,"Medium Reviews","High Reviews")))</f>
        <v>Medium Reviews</v>
      </c>
      <c r="J24" s="5">
        <v>4</v>
      </c>
      <c r="K24" s="2" t="s">
        <v>342</v>
      </c>
      <c r="L24" s="2" t="s">
        <v>350</v>
      </c>
    </row>
    <row r="25" spans="1:12" x14ac:dyDescent="0.25">
      <c r="A25" t="s">
        <v>81</v>
      </c>
      <c r="B25" s="3">
        <v>1650</v>
      </c>
      <c r="C25" s="2" t="s">
        <v>336</v>
      </c>
      <c r="D25" s="3">
        <v>2150</v>
      </c>
      <c r="E25" s="3">
        <v>500</v>
      </c>
      <c r="F25" s="1">
        <v>0.23</v>
      </c>
      <c r="G25" s="2" t="s">
        <v>337</v>
      </c>
      <c r="H25" s="4">
        <v>14</v>
      </c>
      <c r="I25" s="4" t="str">
        <f>IF(OR(H25="",H25="Unknown"),"Unknown",IF(H25&lt;=Review_Q1,"Low Reviews",IF(H25&lt;=Review_Q3,"Medium Reviews","High Reviews")))</f>
        <v>Medium Reviews</v>
      </c>
      <c r="J25" s="5">
        <v>4.4000000000000004</v>
      </c>
      <c r="K25" s="2" t="s">
        <v>338</v>
      </c>
      <c r="L25" s="2" t="s">
        <v>349</v>
      </c>
    </row>
    <row r="26" spans="1:12" x14ac:dyDescent="0.25">
      <c r="A26" t="s">
        <v>85</v>
      </c>
      <c r="B26" s="3">
        <v>2048</v>
      </c>
      <c r="C26" s="2" t="s">
        <v>340</v>
      </c>
      <c r="D26" s="3">
        <v>4500</v>
      </c>
      <c r="E26" s="3">
        <v>2452</v>
      </c>
      <c r="F26" s="1">
        <v>0.54</v>
      </c>
      <c r="G26" s="2" t="s">
        <v>339</v>
      </c>
      <c r="H26" s="4">
        <v>7</v>
      </c>
      <c r="I26" s="4" t="str">
        <f>IF(OR(H26="",H26="Unknown"),"Unknown",IF(H26&lt;=Review_Q1,"Low Reviews",IF(H26&lt;=Review_Q3,"Medium Reviews","High Reviews")))</f>
        <v>Medium Reviews</v>
      </c>
      <c r="J26" s="5">
        <v>4.3</v>
      </c>
      <c r="K26" s="2" t="s">
        <v>338</v>
      </c>
      <c r="L26" s="2" t="s">
        <v>350</v>
      </c>
    </row>
    <row r="27" spans="1:12" x14ac:dyDescent="0.25">
      <c r="A27" t="s">
        <v>89</v>
      </c>
      <c r="B27" s="3">
        <v>420</v>
      </c>
      <c r="C27" s="2" t="s">
        <v>343</v>
      </c>
      <c r="D27" s="3">
        <v>647</v>
      </c>
      <c r="E27" s="3">
        <v>227</v>
      </c>
      <c r="F27" s="1">
        <v>0.35</v>
      </c>
      <c r="G27" s="2" t="s">
        <v>337</v>
      </c>
      <c r="H27" s="4">
        <v>49</v>
      </c>
      <c r="I27" s="4" t="str">
        <f>IF(OR(H27="",H27="Unknown"),"Unknown",IF(H27&lt;=Review_Q1,"Low Reviews",IF(H27&lt;=Review_Q3,"Medium Reviews","High Reviews")))</f>
        <v>High Reviews</v>
      </c>
      <c r="J27" s="5">
        <v>4.5999999999999996</v>
      </c>
      <c r="K27" s="2" t="s">
        <v>338</v>
      </c>
      <c r="L27" s="2" t="s">
        <v>349</v>
      </c>
    </row>
    <row r="28" spans="1:12" x14ac:dyDescent="0.25">
      <c r="A28" t="s">
        <v>92</v>
      </c>
      <c r="B28" s="3">
        <v>2880</v>
      </c>
      <c r="C28" s="2" t="s">
        <v>340</v>
      </c>
      <c r="D28" s="3">
        <v>3520</v>
      </c>
      <c r="E28" s="3">
        <v>640</v>
      </c>
      <c r="F28" s="1">
        <v>0.18</v>
      </c>
      <c r="G28" s="2" t="s">
        <v>341</v>
      </c>
      <c r="H28" s="4">
        <v>12</v>
      </c>
      <c r="I28" s="4" t="str">
        <f>IF(OR(H28="",H28="Unknown"),"Unknown",IF(H28&lt;=Review_Q1,"Low Reviews",IF(H28&lt;=Review_Q3,"Medium Reviews","High Reviews")))</f>
        <v>Medium Reviews</v>
      </c>
      <c r="J28" s="5">
        <v>3.8</v>
      </c>
      <c r="K28" s="2" t="s">
        <v>342</v>
      </c>
      <c r="L28" s="2" t="s">
        <v>350</v>
      </c>
    </row>
    <row r="29" spans="1:12" x14ac:dyDescent="0.25">
      <c r="A29" t="s">
        <v>95</v>
      </c>
      <c r="B29" s="3">
        <v>1350</v>
      </c>
      <c r="C29" s="2" t="s">
        <v>336</v>
      </c>
      <c r="D29" s="3">
        <v>1990</v>
      </c>
      <c r="E29" s="3">
        <v>640</v>
      </c>
      <c r="F29" s="1">
        <v>0.32</v>
      </c>
      <c r="G29" s="2" t="s">
        <v>337</v>
      </c>
      <c r="H29" s="4">
        <v>13</v>
      </c>
      <c r="I29" s="4" t="str">
        <f>IF(OR(H29="",H29="Unknown"),"Unknown",IF(H29&lt;=Review_Q1,"Low Reviews",IF(H29&lt;=Review_Q3,"Medium Reviews","High Reviews")))</f>
        <v>Medium Reviews</v>
      </c>
      <c r="J29" s="5">
        <v>3.8</v>
      </c>
      <c r="K29" s="2" t="s">
        <v>342</v>
      </c>
      <c r="L29" s="2" t="s">
        <v>350</v>
      </c>
    </row>
    <row r="30" spans="1:12" x14ac:dyDescent="0.25">
      <c r="A30" t="s">
        <v>97</v>
      </c>
      <c r="B30" s="3">
        <v>1758</v>
      </c>
      <c r="C30" s="2" t="s">
        <v>340</v>
      </c>
      <c r="D30" s="3">
        <v>2499</v>
      </c>
      <c r="E30" s="3">
        <v>741</v>
      </c>
      <c r="F30" s="1">
        <v>0.3</v>
      </c>
      <c r="G30" s="2" t="s">
        <v>337</v>
      </c>
      <c r="H30" s="4">
        <v>20</v>
      </c>
      <c r="I30" s="4" t="str">
        <f>IF(OR(H30="",H30="Unknown"),"Unknown",IF(H30&lt;=Review_Q1,"Low Reviews",IF(H30&lt;=Review_Q3,"Medium Reviews","High Reviews")))</f>
        <v>High Reviews</v>
      </c>
      <c r="J30" s="5">
        <v>4.0999999999999996</v>
      </c>
      <c r="K30" s="2" t="s">
        <v>338</v>
      </c>
      <c r="L30" s="2" t="s">
        <v>349</v>
      </c>
    </row>
    <row r="31" spans="1:12" x14ac:dyDescent="0.25">
      <c r="A31" t="s">
        <v>99</v>
      </c>
      <c r="B31" s="3">
        <v>2200</v>
      </c>
      <c r="C31" s="2" t="s">
        <v>340</v>
      </c>
      <c r="D31" s="3">
        <v>4080</v>
      </c>
      <c r="E31" s="3">
        <v>1880</v>
      </c>
      <c r="F31" s="1">
        <v>0.46</v>
      </c>
      <c r="G31" s="2" t="s">
        <v>339</v>
      </c>
      <c r="H31" s="4" t="s">
        <v>324</v>
      </c>
      <c r="I31" s="4" t="str">
        <f>IF(OR(H31="",H31="Unknown"),"Unknown",IF(H31&lt;=Review_Q1,"Low Reviews",IF(H31&lt;=Review_Q3,"Medium Reviews","High Reviews")))</f>
        <v>Unknown</v>
      </c>
      <c r="J31" s="5" t="s">
        <v>324</v>
      </c>
      <c r="K31" s="2" t="s">
        <v>324</v>
      </c>
      <c r="L31" s="2" t="s">
        <v>324</v>
      </c>
    </row>
    <row r="32" spans="1:12" x14ac:dyDescent="0.25">
      <c r="A32" t="s">
        <v>102</v>
      </c>
      <c r="B32" s="3">
        <v>185</v>
      </c>
      <c r="C32" s="2" t="s">
        <v>343</v>
      </c>
      <c r="D32" s="3">
        <v>382</v>
      </c>
      <c r="E32" s="3">
        <v>197</v>
      </c>
      <c r="F32" s="1">
        <v>0.52</v>
      </c>
      <c r="G32" s="2" t="s">
        <v>339</v>
      </c>
      <c r="H32" s="4">
        <v>9</v>
      </c>
      <c r="I32" s="4" t="str">
        <f>IF(OR(H32="",H32="Unknown"),"Unknown",IF(H32&lt;=Review_Q1,"Low Reviews",IF(H32&lt;=Review_Q3,"Medium Reviews","High Reviews")))</f>
        <v>Medium Reviews</v>
      </c>
      <c r="J32" s="5">
        <v>4.3</v>
      </c>
      <c r="K32" s="2" t="s">
        <v>338</v>
      </c>
      <c r="L32" s="2" t="s">
        <v>350</v>
      </c>
    </row>
    <row r="33" spans="1:12" x14ac:dyDescent="0.25">
      <c r="A33" t="s">
        <v>105</v>
      </c>
      <c r="B33" s="3">
        <v>980</v>
      </c>
      <c r="C33" s="2" t="s">
        <v>336</v>
      </c>
      <c r="D33" s="3">
        <v>1490</v>
      </c>
      <c r="E33" s="3">
        <v>510</v>
      </c>
      <c r="F33" s="1">
        <v>0.34</v>
      </c>
      <c r="G33" s="2" t="s">
        <v>337</v>
      </c>
      <c r="H33" s="4">
        <v>12</v>
      </c>
      <c r="I33" s="4" t="str">
        <f>IF(OR(H33="",H33="Unknown"),"Unknown",IF(H33&lt;=Review_Q1,"Low Reviews",IF(H33&lt;=Review_Q3,"Medium Reviews","High Reviews")))</f>
        <v>Medium Reviews</v>
      </c>
      <c r="J33" s="5">
        <v>4.7</v>
      </c>
      <c r="K33" s="2" t="s">
        <v>338</v>
      </c>
      <c r="L33" s="2" t="s">
        <v>350</v>
      </c>
    </row>
    <row r="34" spans="1:12" x14ac:dyDescent="0.25">
      <c r="A34" t="s">
        <v>328</v>
      </c>
      <c r="B34" s="3">
        <v>1820</v>
      </c>
      <c r="C34" s="2" t="s">
        <v>340</v>
      </c>
      <c r="D34" s="3">
        <v>3490</v>
      </c>
      <c r="E34" s="3">
        <v>1670</v>
      </c>
      <c r="F34" s="1">
        <v>0.48</v>
      </c>
      <c r="G34" s="2" t="s">
        <v>339</v>
      </c>
      <c r="H34" s="4">
        <v>9</v>
      </c>
      <c r="I34" s="4" t="str">
        <f>IF(OR(H34="",H34="Unknown"),"Unknown",IF(H34&lt;=Review_Q1,"Low Reviews",IF(H34&lt;=Review_Q3,"Medium Reviews","High Reviews")))</f>
        <v>Medium Reviews</v>
      </c>
      <c r="J34" s="5">
        <v>4.3</v>
      </c>
      <c r="K34" s="2" t="s">
        <v>338</v>
      </c>
      <c r="L34" s="2" t="s">
        <v>350</v>
      </c>
    </row>
    <row r="35" spans="1:12" x14ac:dyDescent="0.25">
      <c r="A35" t="s">
        <v>111</v>
      </c>
      <c r="B35" s="3">
        <v>1940</v>
      </c>
      <c r="C35" s="2" t="s">
        <v>340</v>
      </c>
      <c r="D35" s="3">
        <v>2650</v>
      </c>
      <c r="E35" s="3">
        <v>710</v>
      </c>
      <c r="F35" s="1">
        <v>0.27</v>
      </c>
      <c r="G35" s="2" t="s">
        <v>337</v>
      </c>
      <c r="H35" s="4">
        <v>20</v>
      </c>
      <c r="I35" s="4" t="str">
        <f>IF(OR(H35="",H35="Unknown"),"Unknown",IF(H35&lt;=Review_Q1,"Low Reviews",IF(H35&lt;=Review_Q3,"Medium Reviews","High Reviews")))</f>
        <v>High Reviews</v>
      </c>
      <c r="J35" s="5">
        <v>4.7</v>
      </c>
      <c r="K35" s="2" t="s">
        <v>338</v>
      </c>
      <c r="L35" s="2" t="s">
        <v>349</v>
      </c>
    </row>
    <row r="36" spans="1:12" x14ac:dyDescent="0.25">
      <c r="A36" t="s">
        <v>114</v>
      </c>
      <c r="B36" s="3">
        <v>1980</v>
      </c>
      <c r="C36" s="2" t="s">
        <v>340</v>
      </c>
      <c r="D36" s="3">
        <v>2699</v>
      </c>
      <c r="E36" s="3">
        <v>719</v>
      </c>
      <c r="F36" s="1">
        <v>0.27</v>
      </c>
      <c r="G36" s="2" t="s">
        <v>337</v>
      </c>
      <c r="H36" s="4">
        <v>32</v>
      </c>
      <c r="I36" s="4" t="str">
        <f>IF(OR(H36="",H36="Unknown"),"Unknown",IF(H36&lt;=Review_Q1,"Low Reviews",IF(H36&lt;=Review_Q3,"Medium Reviews","High Reviews")))</f>
        <v>High Reviews</v>
      </c>
      <c r="J36" s="5">
        <v>4.5</v>
      </c>
      <c r="K36" s="2" t="s">
        <v>338</v>
      </c>
      <c r="L36" s="2" t="s">
        <v>349</v>
      </c>
    </row>
    <row r="37" spans="1:12" x14ac:dyDescent="0.25">
      <c r="A37" t="s">
        <v>117</v>
      </c>
      <c r="B37" s="3">
        <v>1620</v>
      </c>
      <c r="C37" s="2" t="s">
        <v>336</v>
      </c>
      <c r="D37" s="3">
        <v>2690</v>
      </c>
      <c r="E37" s="3">
        <v>1070</v>
      </c>
      <c r="F37" s="1">
        <v>0.4</v>
      </c>
      <c r="G37" s="2" t="s">
        <v>337</v>
      </c>
      <c r="H37" s="4">
        <v>1</v>
      </c>
      <c r="I37" s="4" t="str">
        <f>IF(OR(H37="",H37="Unknown"),"Unknown",IF(H37&lt;=Review_Q1,"Low Reviews",IF(H37&lt;=Review_Q3,"Medium Reviews","High Reviews")))</f>
        <v>Low Reviews</v>
      </c>
      <c r="J37" s="5">
        <v>5</v>
      </c>
      <c r="K37" s="2" t="s">
        <v>338</v>
      </c>
      <c r="L37" s="2" t="s">
        <v>348</v>
      </c>
    </row>
    <row r="38" spans="1:12" x14ac:dyDescent="0.25">
      <c r="A38" t="s">
        <v>120</v>
      </c>
      <c r="B38" s="3">
        <v>171</v>
      </c>
      <c r="C38" s="2" t="s">
        <v>343</v>
      </c>
      <c r="D38" s="3">
        <v>360</v>
      </c>
      <c r="E38" s="3">
        <v>189</v>
      </c>
      <c r="F38" s="1">
        <v>0.53</v>
      </c>
      <c r="G38" s="2" t="s">
        <v>339</v>
      </c>
      <c r="H38" s="4">
        <v>2</v>
      </c>
      <c r="I38" s="4" t="str">
        <f>IF(OR(H38="",H38="Unknown"),"Unknown",IF(H38&lt;=Review_Q1,"Low Reviews",IF(H38&lt;=Review_Q3,"Medium Reviews","High Reviews")))</f>
        <v>Low Reviews</v>
      </c>
      <c r="J38" s="5">
        <v>5</v>
      </c>
      <c r="K38" s="2" t="s">
        <v>338</v>
      </c>
      <c r="L38" s="2" t="s">
        <v>348</v>
      </c>
    </row>
    <row r="39" spans="1:12" x14ac:dyDescent="0.25">
      <c r="A39" t="s">
        <v>122</v>
      </c>
      <c r="B39" s="3">
        <v>389</v>
      </c>
      <c r="C39" s="2" t="s">
        <v>343</v>
      </c>
      <c r="D39" s="3">
        <v>656</v>
      </c>
      <c r="E39" s="3">
        <v>267</v>
      </c>
      <c r="F39" s="1">
        <v>0.41</v>
      </c>
      <c r="G39" s="2" t="s">
        <v>339</v>
      </c>
      <c r="H39" s="4">
        <v>36</v>
      </c>
      <c r="I39" s="4" t="str">
        <f>IF(OR(H39="",H39="Unknown"),"Unknown",IF(H39&lt;=Review_Q1,"Low Reviews",IF(H39&lt;=Review_Q3,"Medium Reviews","High Reviews")))</f>
        <v>High Reviews</v>
      </c>
      <c r="J39" s="5">
        <v>4.3</v>
      </c>
      <c r="K39" s="2" t="s">
        <v>338</v>
      </c>
      <c r="L39" s="2" t="s">
        <v>349</v>
      </c>
    </row>
    <row r="40" spans="1:12" x14ac:dyDescent="0.25">
      <c r="A40" t="s">
        <v>125</v>
      </c>
      <c r="B40" s="3">
        <v>1800</v>
      </c>
      <c r="C40" s="2" t="s">
        <v>340</v>
      </c>
      <c r="D40" s="3">
        <v>2700</v>
      </c>
      <c r="E40" s="3">
        <v>900</v>
      </c>
      <c r="F40" s="1">
        <v>0.38</v>
      </c>
      <c r="G40" s="2" t="s">
        <v>337</v>
      </c>
      <c r="H40" s="4">
        <v>2</v>
      </c>
      <c r="I40" s="4" t="str">
        <f>IF(OR(H40="",H40="Unknown"),"Unknown",IF(H40&lt;=Review_Q1,"Low Reviews",IF(H40&lt;=Review_Q3,"Medium Reviews","High Reviews")))</f>
        <v>Low Reviews</v>
      </c>
      <c r="J40" s="5">
        <v>4.5</v>
      </c>
      <c r="K40" s="2" t="s">
        <v>338</v>
      </c>
      <c r="L40" s="2" t="s">
        <v>348</v>
      </c>
    </row>
    <row r="41" spans="1:12" x14ac:dyDescent="0.25">
      <c r="A41" t="s">
        <v>128</v>
      </c>
      <c r="B41" s="3">
        <v>2750</v>
      </c>
      <c r="C41" s="2" t="s">
        <v>340</v>
      </c>
      <c r="D41" s="3">
        <v>4471</v>
      </c>
      <c r="E41" s="3">
        <v>1721</v>
      </c>
      <c r="F41" s="1">
        <v>0.38</v>
      </c>
      <c r="G41" s="2" t="s">
        <v>337</v>
      </c>
      <c r="I41" s="4" t="str">
        <f>IF(OR(H41="",H41="Unknown"),"Unknown",IF(H41&lt;=Review_Q1,"Low Reviews",IF(H41&lt;=Review_Q3,"Medium Reviews","High Reviews")))</f>
        <v>Unknown</v>
      </c>
      <c r="K41" s="2" t="s">
        <v>330</v>
      </c>
      <c r="L41" s="2" t="s">
        <v>330</v>
      </c>
    </row>
    <row r="42" spans="1:12" x14ac:dyDescent="0.25">
      <c r="A42" t="s">
        <v>131</v>
      </c>
      <c r="B42" s="3">
        <v>475</v>
      </c>
      <c r="C42" s="2" t="s">
        <v>343</v>
      </c>
      <c r="D42" s="3">
        <v>931</v>
      </c>
      <c r="E42" s="3">
        <v>456</v>
      </c>
      <c r="F42" s="1">
        <v>0.49</v>
      </c>
      <c r="G42" s="2" t="s">
        <v>339</v>
      </c>
      <c r="H42" s="4" t="s">
        <v>324</v>
      </c>
      <c r="I42" s="4" t="str">
        <f>IF(OR(H42="",H42="Unknown"),"Unknown",IF(H42&lt;=Review_Q1,"Low Reviews",IF(H42&lt;=Review_Q3,"Medium Reviews","High Reviews")))</f>
        <v>Unknown</v>
      </c>
      <c r="J42" s="5" t="s">
        <v>324</v>
      </c>
      <c r="K42" s="2" t="s">
        <v>324</v>
      </c>
      <c r="L42" s="2" t="s">
        <v>324</v>
      </c>
    </row>
    <row r="43" spans="1:12" x14ac:dyDescent="0.25">
      <c r="A43" t="s">
        <v>134</v>
      </c>
      <c r="B43" s="3">
        <v>238</v>
      </c>
      <c r="C43" s="2" t="s">
        <v>343</v>
      </c>
      <c r="D43" s="3">
        <v>476</v>
      </c>
      <c r="E43" s="3">
        <v>238</v>
      </c>
      <c r="F43" s="1">
        <v>0.5</v>
      </c>
      <c r="G43" s="2" t="s">
        <v>339</v>
      </c>
      <c r="H43" s="4" t="s">
        <v>324</v>
      </c>
      <c r="I43" s="4" t="str">
        <f>IF(OR(H43="",H43="Unknown"),"Unknown",IF(H43&lt;=Review_Q1,"Low Reviews",IF(H43&lt;=Review_Q3,"Medium Reviews","High Reviews")))</f>
        <v>Unknown</v>
      </c>
      <c r="J43" s="5" t="s">
        <v>324</v>
      </c>
      <c r="K43" s="2" t="s">
        <v>324</v>
      </c>
      <c r="L43" s="2" t="s">
        <v>324</v>
      </c>
    </row>
    <row r="44" spans="1:12" x14ac:dyDescent="0.25">
      <c r="A44" t="s">
        <v>137</v>
      </c>
      <c r="B44" s="3">
        <v>610</v>
      </c>
      <c r="C44" s="2" t="s">
        <v>336</v>
      </c>
      <c r="D44" s="3">
        <v>1060</v>
      </c>
      <c r="E44" s="3">
        <v>450</v>
      </c>
      <c r="F44" s="1">
        <v>0.42</v>
      </c>
      <c r="G44" s="2" t="s">
        <v>339</v>
      </c>
      <c r="H44" s="4" t="s">
        <v>324</v>
      </c>
      <c r="I44" s="4" t="str">
        <f>IF(OR(H44="",H44="Unknown"),"Unknown",IF(H44&lt;=Review_Q1,"Low Reviews",IF(H44&lt;=Review_Q3,"Medium Reviews","High Reviews")))</f>
        <v>Unknown</v>
      </c>
      <c r="J44" s="5" t="s">
        <v>324</v>
      </c>
      <c r="K44" s="2" t="s">
        <v>324</v>
      </c>
      <c r="L44" s="2" t="s">
        <v>324</v>
      </c>
    </row>
    <row r="45" spans="1:12" x14ac:dyDescent="0.25">
      <c r="A45" t="s">
        <v>140</v>
      </c>
      <c r="B45" s="3">
        <v>2132</v>
      </c>
      <c r="C45" s="2" t="s">
        <v>340</v>
      </c>
      <c r="D45" s="3">
        <v>2169</v>
      </c>
      <c r="E45" s="3">
        <v>37</v>
      </c>
      <c r="F45" s="1">
        <v>0.02</v>
      </c>
      <c r="G45" s="2" t="s">
        <v>341</v>
      </c>
      <c r="I45" s="4" t="str">
        <f>IF(OR(H45="",H45="Unknown"),"Unknown",IF(H45&lt;=Review_Q1,"Low Reviews",IF(H45&lt;=Review_Q3,"Medium Reviews","High Reviews")))</f>
        <v>Unknown</v>
      </c>
      <c r="K45" s="2" t="s">
        <v>330</v>
      </c>
      <c r="L45" s="2" t="s">
        <v>330</v>
      </c>
    </row>
    <row r="46" spans="1:12" x14ac:dyDescent="0.25">
      <c r="A46" t="s">
        <v>143</v>
      </c>
      <c r="B46" s="3">
        <v>999</v>
      </c>
      <c r="C46" s="2" t="s">
        <v>336</v>
      </c>
      <c r="D46" s="3">
        <v>2000</v>
      </c>
      <c r="E46" s="3">
        <v>1001</v>
      </c>
      <c r="F46" s="1">
        <v>0.5</v>
      </c>
      <c r="G46" s="2" t="s">
        <v>339</v>
      </c>
      <c r="H46" s="4" t="s">
        <v>324</v>
      </c>
      <c r="I46" s="4" t="str">
        <f>IF(OR(H46="",H46="Unknown"),"Unknown",IF(H46&lt;=Review_Q1,"Low Reviews",IF(H46&lt;=Review_Q3,"Medium Reviews","High Reviews")))</f>
        <v>Unknown</v>
      </c>
      <c r="J46" s="5" t="s">
        <v>324</v>
      </c>
      <c r="K46" s="2" t="s">
        <v>324</v>
      </c>
      <c r="L46" s="2" t="s">
        <v>324</v>
      </c>
    </row>
    <row r="47" spans="1:12" x14ac:dyDescent="0.25">
      <c r="A47" t="s">
        <v>145</v>
      </c>
      <c r="B47" s="3">
        <v>1190</v>
      </c>
      <c r="C47" s="2" t="s">
        <v>336</v>
      </c>
      <c r="D47" s="3">
        <v>1785</v>
      </c>
      <c r="E47" s="3">
        <v>595</v>
      </c>
      <c r="F47" s="1">
        <v>0.33</v>
      </c>
      <c r="G47" s="2" t="s">
        <v>337</v>
      </c>
      <c r="I47" s="4" t="str">
        <f>IF(OR(H47="",H47="Unknown"),"Unknown",IF(H47&lt;=Review_Q1,"Low Reviews",IF(H47&lt;=Review_Q3,"Medium Reviews","High Reviews")))</f>
        <v>Unknown</v>
      </c>
      <c r="K47" s="2" t="s">
        <v>330</v>
      </c>
      <c r="L47" s="2" t="s">
        <v>330</v>
      </c>
    </row>
    <row r="48" spans="1:12" x14ac:dyDescent="0.25">
      <c r="A48" t="s">
        <v>148</v>
      </c>
      <c r="B48" s="3">
        <v>671</v>
      </c>
      <c r="C48" s="2" t="s">
        <v>336</v>
      </c>
      <c r="D48" s="3">
        <v>1316</v>
      </c>
      <c r="E48" s="3">
        <v>645</v>
      </c>
      <c r="F48" s="1">
        <v>0.49</v>
      </c>
      <c r="G48" s="2" t="s">
        <v>339</v>
      </c>
      <c r="H48" s="4" t="s">
        <v>324</v>
      </c>
      <c r="I48" s="4" t="str">
        <f>IF(OR(H48="",H48="Unknown"),"Unknown",IF(H48&lt;=Review_Q1,"Low Reviews",IF(H48&lt;=Review_Q3,"Medium Reviews","High Reviews")))</f>
        <v>Unknown</v>
      </c>
      <c r="J48" s="5" t="s">
        <v>324</v>
      </c>
      <c r="K48" s="2" t="s">
        <v>324</v>
      </c>
      <c r="L48" s="2" t="s">
        <v>324</v>
      </c>
    </row>
    <row r="49" spans="1:12" x14ac:dyDescent="0.25">
      <c r="A49" t="s">
        <v>151</v>
      </c>
      <c r="B49" s="3">
        <v>1200</v>
      </c>
      <c r="C49" s="2" t="s">
        <v>336</v>
      </c>
      <c r="D49" s="3">
        <v>1950</v>
      </c>
      <c r="E49" s="3">
        <v>750</v>
      </c>
      <c r="F49" s="1">
        <v>0.38</v>
      </c>
      <c r="G49" s="2" t="s">
        <v>337</v>
      </c>
      <c r="I49" s="4" t="str">
        <f>IF(OR(H49="",H49="Unknown"),"Unknown",IF(H49&lt;=Review_Q1,"Low Reviews",IF(H49&lt;=Review_Q3,"Medium Reviews","High Reviews")))</f>
        <v>Unknown</v>
      </c>
      <c r="K49" s="2" t="s">
        <v>330</v>
      </c>
      <c r="L49" s="2" t="s">
        <v>330</v>
      </c>
    </row>
    <row r="50" spans="1:12" x14ac:dyDescent="0.25">
      <c r="A50" t="s">
        <v>154</v>
      </c>
      <c r="B50" s="3">
        <v>199</v>
      </c>
      <c r="C50" s="2" t="s">
        <v>343</v>
      </c>
      <c r="D50" s="3">
        <v>504</v>
      </c>
      <c r="E50" s="3">
        <v>305</v>
      </c>
      <c r="F50" s="1">
        <v>0.61</v>
      </c>
      <c r="G50" s="2" t="s">
        <v>339</v>
      </c>
      <c r="H50" s="4" t="s">
        <v>324</v>
      </c>
      <c r="I50" s="4" t="str">
        <f>IF(OR(H50="",H50="Unknown"),"Unknown",IF(H50&lt;=Review_Q1,"Low Reviews",IF(H50&lt;=Review_Q3,"Medium Reviews","High Reviews")))</f>
        <v>Unknown</v>
      </c>
      <c r="J50" s="5" t="s">
        <v>324</v>
      </c>
      <c r="K50" s="2" t="s">
        <v>324</v>
      </c>
      <c r="L50" s="2" t="s">
        <v>324</v>
      </c>
    </row>
    <row r="51" spans="1:12" x14ac:dyDescent="0.25">
      <c r="A51" t="s">
        <v>157</v>
      </c>
      <c r="B51" s="3">
        <v>299</v>
      </c>
      <c r="C51" s="2" t="s">
        <v>343</v>
      </c>
      <c r="D51" s="3">
        <v>600</v>
      </c>
      <c r="E51" s="3">
        <v>301</v>
      </c>
      <c r="F51" s="1">
        <v>0.5</v>
      </c>
      <c r="G51" s="2" t="s">
        <v>339</v>
      </c>
      <c r="H51" s="4" t="s">
        <v>324</v>
      </c>
      <c r="I51" s="4" t="str">
        <f>IF(OR(H51="",H51="Unknown"),"Unknown",IF(H51&lt;=Review_Q1,"Low Reviews",IF(H51&lt;=Review_Q3,"Medium Reviews","High Reviews")))</f>
        <v>Unknown</v>
      </c>
      <c r="J51" s="5" t="s">
        <v>324</v>
      </c>
      <c r="K51" s="2" t="s">
        <v>324</v>
      </c>
      <c r="L51" s="2" t="s">
        <v>324</v>
      </c>
    </row>
    <row r="52" spans="1:12" x14ac:dyDescent="0.25">
      <c r="A52" t="s">
        <v>160</v>
      </c>
      <c r="B52" s="3">
        <v>1660</v>
      </c>
      <c r="C52" s="2" t="s">
        <v>336</v>
      </c>
      <c r="D52" s="3">
        <v>1699</v>
      </c>
      <c r="E52" s="3">
        <v>39</v>
      </c>
      <c r="F52" s="1">
        <v>0.02</v>
      </c>
      <c r="G52" s="2" t="s">
        <v>341</v>
      </c>
      <c r="I52" s="4" t="str">
        <f>IF(OR(H52="",H52="Unknown"),"Unknown",IF(H52&lt;=Review_Q1,"Low Reviews",IF(H52&lt;=Review_Q3,"Medium Reviews","High Reviews")))</f>
        <v>Unknown</v>
      </c>
      <c r="K52" s="2" t="s">
        <v>330</v>
      </c>
      <c r="L52" s="2" t="s">
        <v>330</v>
      </c>
    </row>
    <row r="53" spans="1:12" x14ac:dyDescent="0.25">
      <c r="A53" t="s">
        <v>163</v>
      </c>
      <c r="B53" s="3">
        <v>299</v>
      </c>
      <c r="C53" s="2" t="s">
        <v>343</v>
      </c>
      <c r="D53" s="3">
        <v>384</v>
      </c>
      <c r="E53" s="3">
        <v>85</v>
      </c>
      <c r="F53" s="1">
        <v>0.22</v>
      </c>
      <c r="G53" s="2" t="s">
        <v>337</v>
      </c>
      <c r="I53" s="4" t="str">
        <f>IF(OR(H53="",H53="Unknown"),"Unknown",IF(H53&lt;=Review_Q1,"Low Reviews",IF(H53&lt;=Review_Q3,"Medium Reviews","High Reviews")))</f>
        <v>Unknown</v>
      </c>
      <c r="K53" s="2" t="s">
        <v>330</v>
      </c>
      <c r="L53" s="2" t="s">
        <v>330</v>
      </c>
    </row>
    <row r="54" spans="1:12" x14ac:dyDescent="0.25">
      <c r="A54" t="s">
        <v>165</v>
      </c>
      <c r="B54" s="3">
        <v>1459</v>
      </c>
      <c r="C54" s="2" t="s">
        <v>336</v>
      </c>
      <c r="D54" s="3">
        <v>1499</v>
      </c>
      <c r="E54" s="3">
        <v>40</v>
      </c>
      <c r="F54" s="1">
        <v>0.03</v>
      </c>
      <c r="G54" s="2" t="s">
        <v>341</v>
      </c>
      <c r="I54" s="4" t="str">
        <f>IF(OR(H54="",H54="Unknown"),"Unknown",IF(H54&lt;=Review_Q1,"Low Reviews",IF(H54&lt;=Review_Q3,"Medium Reviews","High Reviews")))</f>
        <v>Unknown</v>
      </c>
      <c r="K54" s="2" t="s">
        <v>330</v>
      </c>
      <c r="L54" s="2" t="s">
        <v>330</v>
      </c>
    </row>
    <row r="55" spans="1:12" x14ac:dyDescent="0.25">
      <c r="A55" t="s">
        <v>168</v>
      </c>
      <c r="B55" s="3">
        <v>799</v>
      </c>
      <c r="C55" s="2" t="s">
        <v>336</v>
      </c>
      <c r="D55" s="3">
        <v>1343</v>
      </c>
      <c r="E55" s="3">
        <v>544</v>
      </c>
      <c r="F55" s="1">
        <v>0.41</v>
      </c>
      <c r="G55" s="2" t="s">
        <v>339</v>
      </c>
      <c r="H55" s="4" t="s">
        <v>324</v>
      </c>
      <c r="I55" s="4" t="str">
        <f>IF(OR(H55="",H55="Unknown"),"Unknown",IF(H55&lt;=Review_Q1,"Low Reviews",IF(H55&lt;=Review_Q3,"Medium Reviews","High Reviews")))</f>
        <v>Unknown</v>
      </c>
      <c r="J55" s="5" t="s">
        <v>324</v>
      </c>
      <c r="K55" s="2" t="s">
        <v>324</v>
      </c>
      <c r="L55" s="2" t="s">
        <v>324</v>
      </c>
    </row>
    <row r="56" spans="1:12" x14ac:dyDescent="0.25">
      <c r="A56" t="s">
        <v>170</v>
      </c>
      <c r="B56" s="3">
        <v>499</v>
      </c>
      <c r="C56" s="2" t="s">
        <v>336</v>
      </c>
      <c r="D56" s="3">
        <v>900</v>
      </c>
      <c r="E56" s="3">
        <v>401</v>
      </c>
      <c r="F56" s="1">
        <v>0.45</v>
      </c>
      <c r="G56" s="2" t="s">
        <v>339</v>
      </c>
      <c r="H56" s="4" t="s">
        <v>324</v>
      </c>
      <c r="I56" s="4" t="str">
        <f>IF(OR(H56="",H56="Unknown"),"Unknown",IF(H56&lt;=Review_Q1,"Low Reviews",IF(H56&lt;=Review_Q3,"Medium Reviews","High Reviews")))</f>
        <v>Unknown</v>
      </c>
      <c r="J56" s="5" t="s">
        <v>324</v>
      </c>
      <c r="K56" s="2" t="s">
        <v>324</v>
      </c>
      <c r="L56" s="2" t="s">
        <v>324</v>
      </c>
    </row>
    <row r="57" spans="1:12" x14ac:dyDescent="0.25">
      <c r="A57" t="s">
        <v>173</v>
      </c>
      <c r="B57" s="3">
        <v>699</v>
      </c>
      <c r="C57" s="2" t="s">
        <v>336</v>
      </c>
      <c r="D57" s="3">
        <v>1343</v>
      </c>
      <c r="E57" s="3">
        <v>644</v>
      </c>
      <c r="F57" s="1">
        <v>0.48</v>
      </c>
      <c r="G57" s="2" t="s">
        <v>339</v>
      </c>
      <c r="H57" s="4" t="s">
        <v>324</v>
      </c>
      <c r="I57" s="4" t="str">
        <f>IF(OR(H57="",H57="Unknown"),"Unknown",IF(H57&lt;=Review_Q1,"Low Reviews",IF(H57&lt;=Review_Q3,"Medium Reviews","High Reviews")))</f>
        <v>Unknown</v>
      </c>
      <c r="J57" s="5" t="s">
        <v>324</v>
      </c>
      <c r="K57" s="2" t="s">
        <v>324</v>
      </c>
      <c r="L57" s="2" t="s">
        <v>324</v>
      </c>
    </row>
    <row r="58" spans="1:12" x14ac:dyDescent="0.25">
      <c r="A58" t="s">
        <v>175</v>
      </c>
      <c r="B58" s="3">
        <v>799</v>
      </c>
      <c r="C58" s="2" t="s">
        <v>336</v>
      </c>
      <c r="D58" s="3">
        <v>1567</v>
      </c>
      <c r="E58" s="3">
        <v>768</v>
      </c>
      <c r="F58" s="1">
        <v>0.49</v>
      </c>
      <c r="G58" s="2" t="s">
        <v>339</v>
      </c>
      <c r="H58" s="4" t="s">
        <v>324</v>
      </c>
      <c r="I58" s="4" t="str">
        <f>IF(OR(H58="",H58="Unknown"),"Unknown",IF(H58&lt;=Review_Q1,"Low Reviews",IF(H58&lt;=Review_Q3,"Medium Reviews","High Reviews")))</f>
        <v>Unknown</v>
      </c>
      <c r="J58" s="5" t="s">
        <v>324</v>
      </c>
      <c r="K58" s="2" t="s">
        <v>324</v>
      </c>
      <c r="L58" s="2" t="s">
        <v>324</v>
      </c>
    </row>
    <row r="59" spans="1:12" x14ac:dyDescent="0.25">
      <c r="A59" t="s">
        <v>177</v>
      </c>
      <c r="B59" s="3">
        <v>2799</v>
      </c>
      <c r="C59" s="2" t="s">
        <v>340</v>
      </c>
      <c r="D59" s="3">
        <v>3810</v>
      </c>
      <c r="E59" s="3">
        <v>1011</v>
      </c>
      <c r="F59" s="1">
        <v>0.27</v>
      </c>
      <c r="G59" s="2" t="s">
        <v>337</v>
      </c>
      <c r="I59" s="4" t="str">
        <f>IF(OR(H59="",H59="Unknown"),"Unknown",IF(H59&lt;=Review_Q1,"Low Reviews",IF(H59&lt;=Review_Q3,"Medium Reviews","High Reviews")))</f>
        <v>Unknown</v>
      </c>
      <c r="K59" s="2" t="s">
        <v>330</v>
      </c>
      <c r="L59" s="2" t="s">
        <v>330</v>
      </c>
    </row>
    <row r="60" spans="1:12" x14ac:dyDescent="0.25">
      <c r="A60" t="s">
        <v>170</v>
      </c>
      <c r="B60" s="3">
        <v>399</v>
      </c>
      <c r="C60" s="2" t="s">
        <v>343</v>
      </c>
      <c r="D60" s="3">
        <v>896</v>
      </c>
      <c r="E60" s="3">
        <v>497</v>
      </c>
      <c r="F60" s="1">
        <v>0.55000000000000004</v>
      </c>
      <c r="G60" s="2" t="s">
        <v>339</v>
      </c>
      <c r="H60" s="4" t="s">
        <v>324</v>
      </c>
      <c r="I60" s="4" t="str">
        <f>IF(OR(H60="",H60="Unknown"),"Unknown",IF(H60&lt;=Review_Q1,"Low Reviews",IF(H60&lt;=Review_Q3,"Medium Reviews","High Reviews")))</f>
        <v>Unknown</v>
      </c>
      <c r="J60" s="5" t="s">
        <v>324</v>
      </c>
      <c r="K60" s="2" t="s">
        <v>324</v>
      </c>
      <c r="L60" s="2" t="s">
        <v>324</v>
      </c>
    </row>
    <row r="61" spans="1:12" x14ac:dyDescent="0.25">
      <c r="A61" t="s">
        <v>182</v>
      </c>
      <c r="B61" s="3">
        <v>2170</v>
      </c>
      <c r="C61" s="2" t="s">
        <v>340</v>
      </c>
      <c r="D61" s="3">
        <v>2500</v>
      </c>
      <c r="E61" s="3">
        <v>330</v>
      </c>
      <c r="F61" s="1">
        <v>0.13</v>
      </c>
      <c r="G61" s="2" t="s">
        <v>341</v>
      </c>
      <c r="H61" s="4">
        <v>6</v>
      </c>
      <c r="I61" s="4" t="str">
        <f>IF(OR(H61="",H61="Unknown"),"Unknown",IF(H61&lt;=Review_Q1,"Low Reviews",IF(H61&lt;=Review_Q3,"Medium Reviews","High Reviews")))</f>
        <v>Medium Reviews</v>
      </c>
      <c r="J61" s="5">
        <v>2.5</v>
      </c>
      <c r="K61" s="2" t="s">
        <v>344</v>
      </c>
      <c r="L61" s="2" t="s">
        <v>350</v>
      </c>
    </row>
    <row r="62" spans="1:12" x14ac:dyDescent="0.25">
      <c r="A62" t="s">
        <v>186</v>
      </c>
      <c r="B62" s="3">
        <v>458</v>
      </c>
      <c r="C62" s="2" t="s">
        <v>343</v>
      </c>
      <c r="D62" s="3">
        <v>986</v>
      </c>
      <c r="E62" s="3">
        <v>528</v>
      </c>
      <c r="F62" s="1">
        <v>0.54</v>
      </c>
      <c r="G62" s="2" t="s">
        <v>339</v>
      </c>
      <c r="H62" s="4">
        <v>10</v>
      </c>
      <c r="I62" s="4" t="str">
        <f>IF(OR(H62="",H62="Unknown"),"Unknown",IF(H62&lt;=Review_Q1,"Low Reviews",IF(H62&lt;=Review_Q3,"Medium Reviews","High Reviews")))</f>
        <v>Medium Reviews</v>
      </c>
      <c r="J62" s="5">
        <v>3</v>
      </c>
      <c r="K62" s="2" t="s">
        <v>342</v>
      </c>
      <c r="L62" s="2" t="s">
        <v>350</v>
      </c>
    </row>
    <row r="63" spans="1:12" x14ac:dyDescent="0.25">
      <c r="A63" t="s">
        <v>190</v>
      </c>
      <c r="B63" s="3">
        <v>2115</v>
      </c>
      <c r="C63" s="2" t="s">
        <v>340</v>
      </c>
      <c r="D63" s="3">
        <v>4700</v>
      </c>
      <c r="E63" s="3">
        <v>2585</v>
      </c>
      <c r="F63" s="1">
        <v>0.55000000000000004</v>
      </c>
      <c r="G63" s="2" t="s">
        <v>339</v>
      </c>
      <c r="H63" s="4">
        <v>13</v>
      </c>
      <c r="I63" s="4" t="str">
        <f>IF(OR(H63="",H63="Unknown"),"Unknown",IF(H63&lt;=Review_Q1,"Low Reviews",IF(H63&lt;=Review_Q3,"Medium Reviews","High Reviews")))</f>
        <v>Medium Reviews</v>
      </c>
      <c r="J63" s="5">
        <v>2.1</v>
      </c>
      <c r="K63" s="2" t="s">
        <v>344</v>
      </c>
      <c r="L63" s="2" t="s">
        <v>350</v>
      </c>
    </row>
    <row r="64" spans="1:12" x14ac:dyDescent="0.25">
      <c r="A64" t="s">
        <v>194</v>
      </c>
      <c r="B64" s="3">
        <v>445</v>
      </c>
      <c r="C64" s="2" t="s">
        <v>343</v>
      </c>
      <c r="D64" s="3">
        <v>873</v>
      </c>
      <c r="E64" s="3">
        <v>428</v>
      </c>
      <c r="F64" s="1">
        <v>0.49</v>
      </c>
      <c r="G64" s="2" t="s">
        <v>339</v>
      </c>
      <c r="H64" s="4">
        <v>69</v>
      </c>
      <c r="I64" s="4" t="str">
        <f>IF(OR(H64="",H64="Unknown"),"Unknown",IF(H64&lt;=Review_Q1,"Low Reviews",IF(H64&lt;=Review_Q3,"Medium Reviews","High Reviews")))</f>
        <v>High Reviews</v>
      </c>
      <c r="J64" s="5">
        <v>2.8</v>
      </c>
      <c r="K64" s="2" t="s">
        <v>344</v>
      </c>
      <c r="L64" s="2" t="s">
        <v>350</v>
      </c>
    </row>
    <row r="65" spans="1:12" x14ac:dyDescent="0.25">
      <c r="A65" t="s">
        <v>329</v>
      </c>
      <c r="B65" s="3">
        <v>325</v>
      </c>
      <c r="C65" s="2" t="s">
        <v>343</v>
      </c>
      <c r="D65" s="3">
        <v>680</v>
      </c>
      <c r="E65" s="3">
        <v>355</v>
      </c>
      <c r="F65" s="1">
        <v>0.52</v>
      </c>
      <c r="G65" s="2" t="s">
        <v>339</v>
      </c>
      <c r="H65" s="4">
        <v>15</v>
      </c>
      <c r="I65" s="4" t="str">
        <f>IF(OR(H65="",H65="Unknown"),"Unknown",IF(H65&lt;=Review_Q1,"Low Reviews",IF(H65&lt;=Review_Q3,"Medium Reviews","High Reviews")))</f>
        <v>High Reviews</v>
      </c>
      <c r="J65" s="5">
        <v>2.7</v>
      </c>
      <c r="K65" s="2" t="s">
        <v>344</v>
      </c>
      <c r="L65" s="2" t="s">
        <v>350</v>
      </c>
    </row>
    <row r="66" spans="1:12" x14ac:dyDescent="0.25">
      <c r="A66" t="s">
        <v>202</v>
      </c>
      <c r="B66" s="3">
        <v>1220</v>
      </c>
      <c r="C66" s="2" t="s">
        <v>336</v>
      </c>
      <c r="D66" s="3">
        <v>1555</v>
      </c>
      <c r="E66" s="3">
        <v>335</v>
      </c>
      <c r="F66" s="1">
        <v>0.22</v>
      </c>
      <c r="G66" s="2" t="s">
        <v>337</v>
      </c>
      <c r="H66" s="4">
        <v>16</v>
      </c>
      <c r="I66" s="4" t="str">
        <f>IF(OR(H66="",H66="Unknown"),"Unknown",IF(H66&lt;=Review_Q1,"Low Reviews",IF(H66&lt;=Review_Q3,"Medium Reviews","High Reviews")))</f>
        <v>High Reviews</v>
      </c>
      <c r="J66" s="5">
        <v>2.9</v>
      </c>
      <c r="K66" s="2" t="s">
        <v>344</v>
      </c>
      <c r="L66" s="2" t="s">
        <v>350</v>
      </c>
    </row>
    <row r="67" spans="1:12" x14ac:dyDescent="0.25">
      <c r="A67" t="s">
        <v>206</v>
      </c>
      <c r="B67" s="3">
        <v>990</v>
      </c>
      <c r="C67" s="2" t="s">
        <v>336</v>
      </c>
      <c r="D67" s="3">
        <v>1814</v>
      </c>
      <c r="E67" s="3">
        <v>824</v>
      </c>
      <c r="F67" s="1">
        <v>0.45</v>
      </c>
      <c r="G67" s="2" t="s">
        <v>339</v>
      </c>
      <c r="H67" s="4">
        <v>6</v>
      </c>
      <c r="I67" s="4" t="str">
        <f>IF(OR(H67="",H67="Unknown"),"Unknown",IF(H67&lt;=Review_Q1,"Low Reviews",IF(H67&lt;=Review_Q3,"Medium Reviews","High Reviews")))</f>
        <v>Medium Reviews</v>
      </c>
      <c r="J67" s="5">
        <v>2.2000000000000002</v>
      </c>
      <c r="K67" s="2" t="s">
        <v>344</v>
      </c>
      <c r="L67" s="2" t="s">
        <v>350</v>
      </c>
    </row>
    <row r="68" spans="1:12" x14ac:dyDescent="0.25">
      <c r="A68" t="s">
        <v>209</v>
      </c>
      <c r="B68" s="3">
        <v>1000</v>
      </c>
      <c r="C68" s="2" t="s">
        <v>336</v>
      </c>
      <c r="D68" s="3">
        <v>2000</v>
      </c>
      <c r="E68" s="3">
        <v>1000</v>
      </c>
      <c r="F68" s="1">
        <v>0.5</v>
      </c>
      <c r="G68" s="2" t="s">
        <v>339</v>
      </c>
      <c r="H68" s="4">
        <v>7</v>
      </c>
      <c r="I68" s="4" t="str">
        <f>IF(OR(H68="",H68="Unknown"),"Unknown",IF(H68&lt;=Review_Q1,"Low Reviews",IF(H68&lt;=Review_Q3,"Medium Reviews","High Reviews")))</f>
        <v>Medium Reviews</v>
      </c>
      <c r="J68" s="5">
        <v>2.2999999999999998</v>
      </c>
      <c r="K68" s="2" t="s">
        <v>344</v>
      </c>
      <c r="L68" s="2" t="s">
        <v>350</v>
      </c>
    </row>
    <row r="69" spans="1:12" x14ac:dyDescent="0.25">
      <c r="A69" t="s">
        <v>212</v>
      </c>
      <c r="B69" s="3">
        <v>3750</v>
      </c>
      <c r="C69" s="2" t="s">
        <v>340</v>
      </c>
      <c r="D69" s="3">
        <v>6143</v>
      </c>
      <c r="E69" s="3">
        <v>2393</v>
      </c>
      <c r="F69" s="1">
        <v>0.39</v>
      </c>
      <c r="G69" s="2" t="s">
        <v>337</v>
      </c>
      <c r="H69" s="4">
        <v>5</v>
      </c>
      <c r="I69" s="4" t="str">
        <f>IF(OR(H69="",H69="Unknown"),"Unknown",IF(H69&lt;=Review_Q1,"Low Reviews",IF(H69&lt;=Review_Q3,"Medium Reviews","High Reviews")))</f>
        <v>Low Reviews</v>
      </c>
      <c r="J69" s="5">
        <v>3</v>
      </c>
      <c r="K69" s="2" t="s">
        <v>342</v>
      </c>
      <c r="L69" s="2" t="s">
        <v>348</v>
      </c>
    </row>
    <row r="70" spans="1:12" x14ac:dyDescent="0.25">
      <c r="A70" t="s">
        <v>215</v>
      </c>
      <c r="B70" s="3">
        <v>382</v>
      </c>
      <c r="C70" s="2" t="s">
        <v>343</v>
      </c>
      <c r="D70" s="3">
        <v>700</v>
      </c>
      <c r="E70" s="3">
        <v>318</v>
      </c>
      <c r="F70" s="1">
        <v>0.45</v>
      </c>
      <c r="G70" s="2" t="s">
        <v>339</v>
      </c>
      <c r="H70" s="4">
        <v>17</v>
      </c>
      <c r="I70" s="4" t="str">
        <f>IF(OR(H70="",H70="Unknown"),"Unknown",IF(H70&lt;=Review_Q1,"Low Reviews",IF(H70&lt;=Review_Q3,"Medium Reviews","High Reviews")))</f>
        <v>High Reviews</v>
      </c>
      <c r="J70" s="5">
        <v>2.6</v>
      </c>
      <c r="K70" s="2" t="s">
        <v>344</v>
      </c>
      <c r="L70" s="2" t="s">
        <v>350</v>
      </c>
    </row>
    <row r="71" spans="1:12" x14ac:dyDescent="0.25">
      <c r="A71" t="s">
        <v>218</v>
      </c>
      <c r="B71" s="3">
        <v>2300</v>
      </c>
      <c r="C71" s="2" t="s">
        <v>340</v>
      </c>
      <c r="D71" s="3">
        <v>3240</v>
      </c>
      <c r="E71" s="3">
        <v>940</v>
      </c>
      <c r="F71" s="1">
        <v>0.28999999999999998</v>
      </c>
      <c r="G71" s="2" t="s">
        <v>337</v>
      </c>
      <c r="H71" s="4">
        <v>5</v>
      </c>
      <c r="I71" s="4" t="str">
        <f>IF(OR(H71="",H71="Unknown"),"Unknown",IF(H71&lt;=Review_Q1,"Low Reviews",IF(H71&lt;=Review_Q3,"Medium Reviews","High Reviews")))</f>
        <v>Low Reviews</v>
      </c>
      <c r="J71" s="5">
        <v>3</v>
      </c>
      <c r="K71" s="2" t="s">
        <v>342</v>
      </c>
      <c r="L71" s="2" t="s">
        <v>348</v>
      </c>
    </row>
    <row r="72" spans="1:12" x14ac:dyDescent="0.25">
      <c r="A72" t="s">
        <v>221</v>
      </c>
      <c r="B72" s="3">
        <v>345</v>
      </c>
      <c r="C72" s="2" t="s">
        <v>343</v>
      </c>
      <c r="D72" s="3">
        <v>602</v>
      </c>
      <c r="E72" s="3">
        <v>257</v>
      </c>
      <c r="F72" s="1">
        <v>0.43</v>
      </c>
      <c r="G72" s="2" t="s">
        <v>339</v>
      </c>
      <c r="H72" s="4">
        <v>6</v>
      </c>
      <c r="I72" s="4" t="str">
        <f>IF(OR(H72="",H72="Unknown"),"Unknown",IF(H72&lt;=Review_Q1,"Low Reviews",IF(H72&lt;=Review_Q3,"Medium Reviews","High Reviews")))</f>
        <v>Medium Reviews</v>
      </c>
      <c r="J72" s="5">
        <v>2.2999999999999998</v>
      </c>
      <c r="K72" s="2" t="s">
        <v>344</v>
      </c>
      <c r="L72" s="2" t="s">
        <v>350</v>
      </c>
    </row>
    <row r="73" spans="1:12" x14ac:dyDescent="0.25">
      <c r="A73" t="s">
        <v>224</v>
      </c>
      <c r="B73" s="3">
        <v>509</v>
      </c>
      <c r="C73" s="2" t="s">
        <v>336</v>
      </c>
      <c r="D73" s="3">
        <v>899</v>
      </c>
      <c r="E73" s="3">
        <v>390</v>
      </c>
      <c r="F73" s="1">
        <v>0.43</v>
      </c>
      <c r="G73" s="2" t="s">
        <v>339</v>
      </c>
      <c r="H73" s="4">
        <v>5</v>
      </c>
      <c r="I73" s="4" t="str">
        <f>IF(OR(H73="",H73="Unknown"),"Unknown",IF(H73&lt;=Review_Q1,"Low Reviews",IF(H73&lt;=Review_Q3,"Medium Reviews","High Reviews")))</f>
        <v>Low Reviews</v>
      </c>
      <c r="J73" s="5">
        <v>3</v>
      </c>
      <c r="K73" s="2" t="s">
        <v>342</v>
      </c>
      <c r="L73" s="2" t="s">
        <v>348</v>
      </c>
    </row>
    <row r="74" spans="1:12" x14ac:dyDescent="0.25">
      <c r="A74" t="s">
        <v>227</v>
      </c>
      <c r="B74" s="3">
        <v>968</v>
      </c>
      <c r="C74" s="2" t="s">
        <v>336</v>
      </c>
      <c r="D74" s="3">
        <v>1814</v>
      </c>
      <c r="E74" s="3">
        <v>846</v>
      </c>
      <c r="F74" s="1">
        <v>0.47</v>
      </c>
      <c r="G74" s="2" t="s">
        <v>339</v>
      </c>
      <c r="H74" s="4">
        <v>6</v>
      </c>
      <c r="I74" s="4" t="str">
        <f>IF(OR(H74="",H74="Unknown"),"Unknown",IF(H74&lt;=Review_Q1,"Low Reviews",IF(H74&lt;=Review_Q3,"Medium Reviews","High Reviews")))</f>
        <v>Medium Reviews</v>
      </c>
      <c r="J74" s="5">
        <v>2.2000000000000002</v>
      </c>
      <c r="K74" s="2" t="s">
        <v>344</v>
      </c>
      <c r="L74" s="2" t="s">
        <v>350</v>
      </c>
    </row>
    <row r="75" spans="1:12" x14ac:dyDescent="0.25">
      <c r="A75" t="s">
        <v>229</v>
      </c>
      <c r="B75" s="3">
        <v>1570</v>
      </c>
      <c r="C75" s="2" t="s">
        <v>336</v>
      </c>
      <c r="D75" s="3">
        <v>2988</v>
      </c>
      <c r="E75" s="3">
        <v>1418</v>
      </c>
      <c r="F75" s="1">
        <v>0.47</v>
      </c>
      <c r="G75" s="2" t="s">
        <v>339</v>
      </c>
      <c r="H75" s="4">
        <v>7</v>
      </c>
      <c r="I75" s="4" t="str">
        <f>IF(OR(H75="",H75="Unknown"),"Unknown",IF(H75&lt;=Review_Q1,"Low Reviews",IF(H75&lt;=Review_Q3,"Medium Reviews","High Reviews")))</f>
        <v>Medium Reviews</v>
      </c>
      <c r="J75" s="5">
        <v>2.1</v>
      </c>
      <c r="K75" s="2" t="s">
        <v>344</v>
      </c>
      <c r="L75" s="2" t="s">
        <v>350</v>
      </c>
    </row>
    <row r="76" spans="1:12" x14ac:dyDescent="0.25">
      <c r="A76" t="s">
        <v>232</v>
      </c>
      <c r="B76" s="3">
        <v>790</v>
      </c>
      <c r="C76" s="2" t="s">
        <v>336</v>
      </c>
      <c r="D76" s="3">
        <v>1485</v>
      </c>
      <c r="E76" s="3">
        <v>695</v>
      </c>
      <c r="F76" s="1">
        <v>0.47</v>
      </c>
      <c r="G76" s="2" t="s">
        <v>339</v>
      </c>
      <c r="H76" s="4" t="s">
        <v>324</v>
      </c>
      <c r="I76" s="4" t="str">
        <f>IF(OR(H76="",H76="Unknown"),"Unknown",IF(H76&lt;=Review_Q1,"Low Reviews",IF(H76&lt;=Review_Q3,"Medium Reviews","High Reviews")))</f>
        <v>Unknown</v>
      </c>
      <c r="J76" s="5" t="s">
        <v>324</v>
      </c>
      <c r="K76" s="2" t="s">
        <v>324</v>
      </c>
      <c r="L76" s="2" t="s">
        <v>324</v>
      </c>
    </row>
    <row r="77" spans="1:12" x14ac:dyDescent="0.25">
      <c r="A77" t="s">
        <v>235</v>
      </c>
      <c r="B77" s="3">
        <v>690</v>
      </c>
      <c r="C77" s="2" t="s">
        <v>336</v>
      </c>
      <c r="D77" s="3">
        <v>1200</v>
      </c>
      <c r="E77" s="3">
        <v>510</v>
      </c>
      <c r="F77" s="1">
        <v>0.43</v>
      </c>
      <c r="G77" s="2" t="s">
        <v>339</v>
      </c>
      <c r="H77" s="4" t="s">
        <v>324</v>
      </c>
      <c r="I77" s="4" t="str">
        <f>IF(OR(H77="",H77="Unknown"),"Unknown",IF(H77&lt;=Review_Q1,"Low Reviews",IF(H77&lt;=Review_Q3,"Medium Reviews","High Reviews")))</f>
        <v>Unknown</v>
      </c>
      <c r="J77" s="5" t="s">
        <v>324</v>
      </c>
      <c r="K77" s="2" t="s">
        <v>324</v>
      </c>
      <c r="L77" s="2" t="s">
        <v>324</v>
      </c>
    </row>
    <row r="78" spans="1:12" x14ac:dyDescent="0.25">
      <c r="A78" t="s">
        <v>237</v>
      </c>
      <c r="B78" s="3">
        <v>1732</v>
      </c>
      <c r="C78" s="2" t="s">
        <v>340</v>
      </c>
      <c r="D78" s="3">
        <v>1799</v>
      </c>
      <c r="E78" s="3">
        <v>67</v>
      </c>
      <c r="F78" s="1">
        <v>0.04</v>
      </c>
      <c r="G78" s="2" t="s">
        <v>341</v>
      </c>
      <c r="I78" s="4" t="str">
        <f>IF(OR(H78="",H78="Unknown"),"Unknown",IF(H78&lt;=Review_Q1,"Low Reviews",IF(H78&lt;=Review_Q3,"Medium Reviews","High Reviews")))</f>
        <v>Unknown</v>
      </c>
      <c r="K78" s="2" t="s">
        <v>330</v>
      </c>
      <c r="L78" s="2" t="s">
        <v>330</v>
      </c>
    </row>
    <row r="79" spans="1:12" x14ac:dyDescent="0.25">
      <c r="A79" t="s">
        <v>240</v>
      </c>
      <c r="B79" s="3">
        <v>230</v>
      </c>
      <c r="C79" s="2" t="s">
        <v>343</v>
      </c>
      <c r="D79" s="3">
        <v>450</v>
      </c>
      <c r="E79" s="3">
        <v>220</v>
      </c>
      <c r="F79" s="1">
        <v>0.49</v>
      </c>
      <c r="G79" s="2" t="s">
        <v>339</v>
      </c>
      <c r="H79" s="4" t="s">
        <v>324</v>
      </c>
      <c r="I79" s="4" t="str">
        <f>IF(OR(H79="",H79="Unknown"),"Unknown",IF(H79&lt;=Review_Q1,"Low Reviews",IF(H79&lt;=Review_Q3,"Medium Reviews","High Reviews")))</f>
        <v>Unknown</v>
      </c>
      <c r="J79" s="5" t="s">
        <v>324</v>
      </c>
      <c r="K79" s="2" t="s">
        <v>324</v>
      </c>
      <c r="L79" s="2" t="s">
        <v>324</v>
      </c>
    </row>
    <row r="80" spans="1:12" x14ac:dyDescent="0.25">
      <c r="A80" t="s">
        <v>243</v>
      </c>
      <c r="B80" s="3">
        <v>1189</v>
      </c>
      <c r="C80" s="2" t="s">
        <v>336</v>
      </c>
      <c r="D80" s="3">
        <v>2199</v>
      </c>
      <c r="E80" s="3">
        <v>1010</v>
      </c>
      <c r="F80" s="1">
        <v>0.46</v>
      </c>
      <c r="G80" s="2" t="s">
        <v>339</v>
      </c>
      <c r="H80" s="4">
        <v>1</v>
      </c>
      <c r="I80" s="4" t="str">
        <f>IF(OR(H80="",H80="Unknown"),"Unknown",IF(H80&lt;=Review_Q1,"Low Reviews",IF(H80&lt;=Review_Q3,"Medium Reviews","High Reviews")))</f>
        <v>Low Reviews</v>
      </c>
      <c r="J80" s="5">
        <v>3</v>
      </c>
      <c r="K80" s="2" t="s">
        <v>342</v>
      </c>
      <c r="L80" s="2" t="s">
        <v>348</v>
      </c>
    </row>
    <row r="81" spans="1:12" x14ac:dyDescent="0.25">
      <c r="A81" t="s">
        <v>245</v>
      </c>
      <c r="B81" s="3">
        <v>979</v>
      </c>
      <c r="C81" s="2" t="s">
        <v>336</v>
      </c>
      <c r="D81" s="3">
        <v>1920</v>
      </c>
      <c r="E81" s="3">
        <v>941</v>
      </c>
      <c r="F81" s="1">
        <v>0.49</v>
      </c>
      <c r="G81" s="2" t="s">
        <v>339</v>
      </c>
      <c r="H81" s="4">
        <v>1</v>
      </c>
      <c r="I81" s="4" t="str">
        <f>IF(OR(H81="",H81="Unknown"),"Unknown",IF(H81&lt;=Review_Q1,"Low Reviews",IF(H81&lt;=Review_Q3,"Medium Reviews","High Reviews")))</f>
        <v>Low Reviews</v>
      </c>
      <c r="J81" s="5">
        <v>5</v>
      </c>
      <c r="K81" s="2" t="s">
        <v>338</v>
      </c>
      <c r="L81" s="2" t="s">
        <v>348</v>
      </c>
    </row>
    <row r="82" spans="1:12" x14ac:dyDescent="0.25">
      <c r="A82" t="s">
        <v>248</v>
      </c>
      <c r="B82" s="3">
        <v>1460</v>
      </c>
      <c r="C82" s="2" t="s">
        <v>336</v>
      </c>
      <c r="D82" s="3">
        <v>2290</v>
      </c>
      <c r="E82" s="3">
        <v>830</v>
      </c>
      <c r="F82" s="1">
        <v>0.36</v>
      </c>
      <c r="G82" s="2" t="s">
        <v>337</v>
      </c>
      <c r="I82" s="4" t="str">
        <f>IF(OR(H82="",H82="Unknown"),"Unknown",IF(H82&lt;=Review_Q1,"Low Reviews",IF(H82&lt;=Review_Q3,"Medium Reviews","High Reviews")))</f>
        <v>Unknown</v>
      </c>
      <c r="K82" s="2" t="s">
        <v>330</v>
      </c>
      <c r="L82" s="2" t="s">
        <v>330</v>
      </c>
    </row>
    <row r="83" spans="1:12" x14ac:dyDescent="0.25">
      <c r="A83" t="s">
        <v>251</v>
      </c>
      <c r="B83" s="3">
        <v>1666</v>
      </c>
      <c r="C83" s="2" t="s">
        <v>336</v>
      </c>
      <c r="D83" s="3">
        <v>1699</v>
      </c>
      <c r="E83" s="3">
        <v>33</v>
      </c>
      <c r="F83" s="1">
        <v>0.02</v>
      </c>
      <c r="G83" s="2" t="s">
        <v>341</v>
      </c>
      <c r="I83" s="4" t="str">
        <f>IF(OR(H83="",H83="Unknown"),"Unknown",IF(H83&lt;=Review_Q1,"Low Reviews",IF(H83&lt;=Review_Q3,"Medium Reviews","High Reviews")))</f>
        <v>Unknown</v>
      </c>
      <c r="K83" s="2" t="s">
        <v>330</v>
      </c>
      <c r="L83" s="2" t="s">
        <v>330</v>
      </c>
    </row>
    <row r="84" spans="1:12" x14ac:dyDescent="0.25">
      <c r="A84" t="s">
        <v>253</v>
      </c>
      <c r="B84" s="3">
        <v>330</v>
      </c>
      <c r="C84" s="2" t="s">
        <v>343</v>
      </c>
      <c r="D84" s="3">
        <v>647</v>
      </c>
      <c r="E84" s="3">
        <v>317</v>
      </c>
      <c r="F84" s="1">
        <v>0.49</v>
      </c>
      <c r="G84" s="2" t="s">
        <v>339</v>
      </c>
      <c r="H84" s="4">
        <v>1</v>
      </c>
      <c r="I84" s="4" t="str">
        <f>IF(OR(H84="",H84="Unknown"),"Unknown",IF(H84&lt;=Review_Q1,"Low Reviews",IF(H84&lt;=Review_Q3,"Medium Reviews","High Reviews")))</f>
        <v>Low Reviews</v>
      </c>
      <c r="J84" s="5">
        <v>4</v>
      </c>
      <c r="K84" s="2" t="s">
        <v>342</v>
      </c>
      <c r="L84" s="2" t="s">
        <v>348</v>
      </c>
    </row>
    <row r="85" spans="1:12" x14ac:dyDescent="0.25">
      <c r="A85" t="s">
        <v>154</v>
      </c>
      <c r="B85" s="3">
        <v>176</v>
      </c>
      <c r="C85" s="2" t="s">
        <v>343</v>
      </c>
      <c r="D85" s="3">
        <v>345</v>
      </c>
      <c r="E85" s="3">
        <v>169</v>
      </c>
      <c r="F85" s="1">
        <v>0.49</v>
      </c>
      <c r="G85" s="2" t="s">
        <v>339</v>
      </c>
      <c r="H85" s="4" t="s">
        <v>324</v>
      </c>
      <c r="I85" s="4" t="str">
        <f>IF(OR(H85="",H85="Unknown"),"Unknown",IF(H85&lt;=Review_Q1,"Low Reviews",IF(H85&lt;=Review_Q3,"Medium Reviews","High Reviews")))</f>
        <v>Unknown</v>
      </c>
      <c r="J85" s="5" t="s">
        <v>324</v>
      </c>
      <c r="K85" s="2" t="s">
        <v>324</v>
      </c>
      <c r="L85" s="2" t="s">
        <v>324</v>
      </c>
    </row>
    <row r="86" spans="1:12" x14ac:dyDescent="0.25">
      <c r="A86" t="s">
        <v>256</v>
      </c>
      <c r="B86" s="3">
        <v>1466</v>
      </c>
      <c r="C86" s="2" t="s">
        <v>336</v>
      </c>
      <c r="D86" s="3">
        <v>1699</v>
      </c>
      <c r="E86" s="3">
        <v>233</v>
      </c>
      <c r="F86" s="1">
        <v>0.14000000000000001</v>
      </c>
      <c r="G86" s="2" t="s">
        <v>341</v>
      </c>
      <c r="I86" s="4" t="str">
        <f>IF(OR(H86="",H86="Unknown"),"Unknown",IF(H86&lt;=Review_Q1,"Low Reviews",IF(H86&lt;=Review_Q3,"Medium Reviews","High Reviews")))</f>
        <v>Unknown</v>
      </c>
      <c r="K86" s="2" t="s">
        <v>330</v>
      </c>
      <c r="L86" s="2" t="s">
        <v>330</v>
      </c>
    </row>
    <row r="87" spans="1:12" x14ac:dyDescent="0.25">
      <c r="A87" t="s">
        <v>258</v>
      </c>
      <c r="B87" s="3">
        <v>274</v>
      </c>
      <c r="C87" s="2" t="s">
        <v>343</v>
      </c>
      <c r="D87" s="3">
        <v>537</v>
      </c>
      <c r="E87" s="3">
        <v>263</v>
      </c>
      <c r="F87" s="1">
        <v>0.49</v>
      </c>
      <c r="G87" s="2" t="s">
        <v>339</v>
      </c>
      <c r="H87" s="4" t="s">
        <v>324</v>
      </c>
      <c r="I87" s="4" t="str">
        <f>IF(OR(H87="",H87="Unknown"),"Unknown",IF(H87&lt;=Review_Q1,"Low Reviews",IF(H87&lt;=Review_Q3,"Medium Reviews","High Reviews")))</f>
        <v>Unknown</v>
      </c>
      <c r="J87" s="5" t="s">
        <v>324</v>
      </c>
      <c r="K87" s="2" t="s">
        <v>324</v>
      </c>
      <c r="L87" s="2" t="s">
        <v>324</v>
      </c>
    </row>
    <row r="88" spans="1:12" x14ac:dyDescent="0.25">
      <c r="A88" t="s">
        <v>261</v>
      </c>
      <c r="B88" s="3">
        <v>799</v>
      </c>
      <c r="C88" s="2" t="s">
        <v>336</v>
      </c>
      <c r="D88" s="3">
        <v>900</v>
      </c>
      <c r="E88" s="3">
        <v>101</v>
      </c>
      <c r="F88" s="1">
        <v>0.11</v>
      </c>
      <c r="G88" s="2" t="s">
        <v>341</v>
      </c>
      <c r="I88" s="4" t="str">
        <f>IF(OR(H88="",H88="Unknown"),"Unknown",IF(H88&lt;=Review_Q1,"Low Reviews",IF(H88&lt;=Review_Q3,"Medium Reviews","High Reviews")))</f>
        <v>Unknown</v>
      </c>
      <c r="K88" s="2" t="s">
        <v>330</v>
      </c>
      <c r="L88" s="2" t="s">
        <v>330</v>
      </c>
    </row>
    <row r="89" spans="1:12" x14ac:dyDescent="0.25">
      <c r="A89" t="s">
        <v>175</v>
      </c>
      <c r="B89" s="3">
        <v>657</v>
      </c>
      <c r="C89" s="2" t="s">
        <v>336</v>
      </c>
      <c r="D89" s="3">
        <v>1288</v>
      </c>
      <c r="E89" s="3">
        <v>631</v>
      </c>
      <c r="F89" s="1">
        <v>0.49</v>
      </c>
      <c r="G89" s="2" t="s">
        <v>339</v>
      </c>
      <c r="H89" s="4" t="s">
        <v>324</v>
      </c>
      <c r="I89" s="4" t="str">
        <f>IF(OR(H89="",H89="Unknown"),"Unknown",IF(H89&lt;=Review_Q1,"Low Reviews",IF(H89&lt;=Review_Q3,"Medium Reviews","High Reviews")))</f>
        <v>Unknown</v>
      </c>
      <c r="J89" s="5" t="s">
        <v>324</v>
      </c>
      <c r="K89" s="2" t="s">
        <v>324</v>
      </c>
      <c r="L89" s="2" t="s">
        <v>324</v>
      </c>
    </row>
    <row r="90" spans="1:12" x14ac:dyDescent="0.25">
      <c r="A90" t="s">
        <v>264</v>
      </c>
      <c r="B90" s="3">
        <v>1468</v>
      </c>
      <c r="C90" s="2" t="s">
        <v>336</v>
      </c>
      <c r="D90" s="3">
        <v>1699</v>
      </c>
      <c r="E90" s="3">
        <v>231</v>
      </c>
      <c r="F90" s="1">
        <v>0.14000000000000001</v>
      </c>
      <c r="G90" s="2" t="s">
        <v>341</v>
      </c>
      <c r="I90" s="4" t="str">
        <f>IF(OR(H90="",H90="Unknown"),"Unknown",IF(H90&lt;=Review_Q1,"Low Reviews",IF(H90&lt;=Review_Q3,"Medium Reviews","High Reviews")))</f>
        <v>Unknown</v>
      </c>
      <c r="K90" s="2" t="s">
        <v>330</v>
      </c>
      <c r="L90" s="2" t="s">
        <v>330</v>
      </c>
    </row>
    <row r="91" spans="1:12" x14ac:dyDescent="0.25">
      <c r="A91" t="s">
        <v>266</v>
      </c>
      <c r="B91" s="3">
        <v>630</v>
      </c>
      <c r="C91" s="2" t="s">
        <v>336</v>
      </c>
      <c r="D91" s="3">
        <v>1100</v>
      </c>
      <c r="E91" s="3">
        <v>470</v>
      </c>
      <c r="F91" s="1">
        <v>0.43</v>
      </c>
      <c r="G91" s="2" t="s">
        <v>339</v>
      </c>
      <c r="H91" s="4" t="s">
        <v>324</v>
      </c>
      <c r="I91" s="4" t="str">
        <f>IF(OR(H91="",H91="Unknown"),"Unknown",IF(H91&lt;=Review_Q1,"Low Reviews",IF(H91&lt;=Review_Q3,"Medium Reviews","High Reviews")))</f>
        <v>Unknown</v>
      </c>
      <c r="J91" s="5" t="s">
        <v>324</v>
      </c>
      <c r="K91" s="2" t="s">
        <v>324</v>
      </c>
      <c r="L91" s="2" t="s">
        <v>324</v>
      </c>
    </row>
    <row r="92" spans="1:12" x14ac:dyDescent="0.25">
      <c r="A92" t="s">
        <v>269</v>
      </c>
      <c r="B92" s="3">
        <v>850</v>
      </c>
      <c r="C92" s="2" t="s">
        <v>336</v>
      </c>
      <c r="D92" s="3">
        <v>1700</v>
      </c>
      <c r="E92" s="3">
        <v>850</v>
      </c>
      <c r="F92" s="1">
        <v>0.5</v>
      </c>
      <c r="G92" s="2" t="s">
        <v>339</v>
      </c>
      <c r="H92" s="4" t="s">
        <v>324</v>
      </c>
      <c r="I92" s="4" t="str">
        <f>IF(OR(H92="",H92="Unknown"),"Unknown",IF(H92&lt;=Review_Q1,"Low Reviews",IF(H92&lt;=Review_Q3,"Medium Reviews","High Reviews")))</f>
        <v>Unknown</v>
      </c>
      <c r="J92" s="5" t="s">
        <v>324</v>
      </c>
      <c r="K92" s="2" t="s">
        <v>324</v>
      </c>
      <c r="L92" s="2" t="s">
        <v>324</v>
      </c>
    </row>
    <row r="93" spans="1:12" x14ac:dyDescent="0.25">
      <c r="A93" t="s">
        <v>272</v>
      </c>
      <c r="B93" s="3">
        <v>1300</v>
      </c>
      <c r="C93" s="2" t="s">
        <v>336</v>
      </c>
      <c r="D93" s="3">
        <v>2500</v>
      </c>
      <c r="E93" s="3">
        <v>1200</v>
      </c>
      <c r="F93" s="1">
        <v>0.48</v>
      </c>
      <c r="G93" s="2" t="s">
        <v>339</v>
      </c>
      <c r="H93" s="4" t="s">
        <v>324</v>
      </c>
      <c r="I93" s="4" t="str">
        <f>IF(OR(H93="",H93="Unknown"),"Unknown",IF(H93&lt;=Review_Q1,"Low Reviews",IF(H93&lt;=Review_Q3,"Medium Reviews","High Reviews")))</f>
        <v>Unknown</v>
      </c>
      <c r="J93" s="5" t="s">
        <v>324</v>
      </c>
      <c r="K93" s="2" t="s">
        <v>324</v>
      </c>
      <c r="L93" s="2" t="s">
        <v>324</v>
      </c>
    </row>
    <row r="94" spans="1:12" x14ac:dyDescent="0.25">
      <c r="A94" t="s">
        <v>274</v>
      </c>
      <c r="B94" s="3">
        <v>105</v>
      </c>
      <c r="C94" s="2" t="s">
        <v>343</v>
      </c>
      <c r="D94" s="3">
        <v>200</v>
      </c>
      <c r="E94" s="3">
        <v>95</v>
      </c>
      <c r="F94" s="1">
        <v>0.48</v>
      </c>
      <c r="G94" s="2" t="s">
        <v>339</v>
      </c>
      <c r="H94" s="4" t="s">
        <v>324</v>
      </c>
      <c r="I94" s="4" t="str">
        <f>IF(OR(H94="",H94="Unknown"),"Unknown",IF(H94&lt;=Review_Q1,"Low Reviews",IF(H94&lt;=Review_Q3,"Medium Reviews","High Reviews")))</f>
        <v>Unknown</v>
      </c>
      <c r="J94" s="5" t="s">
        <v>324</v>
      </c>
      <c r="K94" s="2" t="s">
        <v>324</v>
      </c>
      <c r="L94" s="2" t="s">
        <v>324</v>
      </c>
    </row>
    <row r="95" spans="1:12" x14ac:dyDescent="0.25">
      <c r="A95" t="s">
        <v>277</v>
      </c>
      <c r="B95" s="3">
        <v>899</v>
      </c>
      <c r="C95" s="2" t="s">
        <v>336</v>
      </c>
      <c r="D95" s="3">
        <v>1699</v>
      </c>
      <c r="E95" s="3">
        <v>800</v>
      </c>
      <c r="F95" s="1">
        <v>0.47</v>
      </c>
      <c r="G95" s="2" t="s">
        <v>339</v>
      </c>
      <c r="H95" s="4" t="s">
        <v>324</v>
      </c>
      <c r="I95" s="4" t="str">
        <f>IF(OR(H95="",H95="Unknown"),"Unknown",IF(H95&lt;=Review_Q1,"Low Reviews",IF(H95&lt;=Review_Q3,"Medium Reviews","High Reviews")))</f>
        <v>Unknown</v>
      </c>
      <c r="J95" s="5" t="s">
        <v>324</v>
      </c>
      <c r="K95" s="2" t="s">
        <v>324</v>
      </c>
      <c r="L95" s="2" t="s">
        <v>324</v>
      </c>
    </row>
    <row r="96" spans="1:12" x14ac:dyDescent="0.25">
      <c r="A96" t="s">
        <v>278</v>
      </c>
      <c r="B96" s="3">
        <v>1200</v>
      </c>
      <c r="C96" s="2" t="s">
        <v>336</v>
      </c>
      <c r="D96" s="3">
        <v>2400</v>
      </c>
      <c r="E96" s="3">
        <v>1200</v>
      </c>
      <c r="F96" s="1">
        <v>0.5</v>
      </c>
      <c r="G96" s="2" t="s">
        <v>339</v>
      </c>
      <c r="H96" s="4" t="s">
        <v>324</v>
      </c>
      <c r="I96" s="4" t="str">
        <f>IF(OR(H96="",H96="Unknown"),"Unknown",IF(H96&lt;=Review_Q1,"Low Reviews",IF(H96&lt;=Review_Q3,"Medium Reviews","High Reviews")))</f>
        <v>Unknown</v>
      </c>
      <c r="J96" s="5" t="s">
        <v>324</v>
      </c>
      <c r="K96" s="2" t="s">
        <v>324</v>
      </c>
      <c r="L96" s="2" t="s">
        <v>324</v>
      </c>
    </row>
    <row r="97" spans="1:12" x14ac:dyDescent="0.25">
      <c r="A97" t="s">
        <v>280</v>
      </c>
      <c r="B97" s="3">
        <v>1526</v>
      </c>
      <c r="C97" s="2" t="s">
        <v>336</v>
      </c>
      <c r="D97" s="3">
        <v>1660</v>
      </c>
      <c r="E97" s="3">
        <v>134</v>
      </c>
      <c r="F97" s="1">
        <v>0.08</v>
      </c>
      <c r="G97" s="2" t="s">
        <v>341</v>
      </c>
      <c r="I97" s="4" t="str">
        <f>IF(OR(H97="",H97="Unknown"),"Unknown",IF(H97&lt;=Review_Q1,"Low Reviews",IF(H97&lt;=Review_Q3,"Medium Reviews","High Reviews")))</f>
        <v>Unknown</v>
      </c>
      <c r="K97" s="2" t="s">
        <v>330</v>
      </c>
      <c r="L97" s="2" t="s">
        <v>330</v>
      </c>
    </row>
    <row r="98" spans="1:12" x14ac:dyDescent="0.25">
      <c r="A98" t="s">
        <v>282</v>
      </c>
      <c r="B98" s="3">
        <v>1462</v>
      </c>
      <c r="C98" s="2" t="s">
        <v>336</v>
      </c>
      <c r="D98" s="3">
        <v>1499</v>
      </c>
      <c r="E98" s="3">
        <v>37</v>
      </c>
      <c r="F98" s="1">
        <v>0.02</v>
      </c>
      <c r="G98" s="2" t="s">
        <v>341</v>
      </c>
      <c r="I98" s="4" t="str">
        <f>IF(OR(H98="",H98="Unknown"),"Unknown",IF(H98&lt;=Review_Q1,"Low Reviews",IF(H98&lt;=Review_Q3,"Medium Reviews","High Reviews")))</f>
        <v>Unknown</v>
      </c>
      <c r="K98" s="2" t="s">
        <v>330</v>
      </c>
      <c r="L98" s="2" t="s">
        <v>330</v>
      </c>
    </row>
    <row r="99" spans="1:12" x14ac:dyDescent="0.25">
      <c r="A99" t="s">
        <v>284</v>
      </c>
      <c r="B99" s="3">
        <v>248</v>
      </c>
      <c r="C99" s="2" t="s">
        <v>343</v>
      </c>
      <c r="D99" s="3">
        <v>486</v>
      </c>
      <c r="E99" s="3">
        <v>238</v>
      </c>
      <c r="F99" s="1">
        <v>0.49</v>
      </c>
      <c r="G99" s="2" t="s">
        <v>339</v>
      </c>
      <c r="H99" s="4" t="s">
        <v>324</v>
      </c>
      <c r="I99" s="4" t="str">
        <f>IF(OR(H99="",H99="Unknown"),"Unknown",IF(H99&lt;=Review_Q1,"Low Reviews",IF(H99&lt;=Review_Q3,"Medium Reviews","High Reviews")))</f>
        <v>Unknown</v>
      </c>
      <c r="J99" s="5" t="s">
        <v>324</v>
      </c>
      <c r="K99" s="2" t="s">
        <v>324</v>
      </c>
      <c r="L99" s="2" t="s">
        <v>324</v>
      </c>
    </row>
    <row r="100" spans="1:12" x14ac:dyDescent="0.25">
      <c r="A100" t="s">
        <v>287</v>
      </c>
      <c r="B100" s="3">
        <v>3546</v>
      </c>
      <c r="C100" s="2" t="s">
        <v>340</v>
      </c>
      <c r="D100" s="3">
        <v>3699</v>
      </c>
      <c r="E100" s="3">
        <v>153</v>
      </c>
      <c r="F100" s="1">
        <v>0.04</v>
      </c>
      <c r="G100" s="2" t="s">
        <v>341</v>
      </c>
      <c r="I100" s="4" t="str">
        <f>IF(OR(H100="",H100="Unknown"),"Unknown",IF(H100&lt;=Review_Q1,"Low Reviews",IF(H100&lt;=Review_Q3,"Medium Reviews","High Reviews")))</f>
        <v>Unknown</v>
      </c>
      <c r="K100" s="2" t="s">
        <v>330</v>
      </c>
      <c r="L100" s="2" t="s">
        <v>330</v>
      </c>
    </row>
    <row r="101" spans="1:12" x14ac:dyDescent="0.25">
      <c r="A101" t="s">
        <v>289</v>
      </c>
      <c r="B101" s="3">
        <v>525</v>
      </c>
      <c r="C101" s="2" t="s">
        <v>336</v>
      </c>
      <c r="D101" s="3">
        <v>1029</v>
      </c>
      <c r="E101" s="3">
        <v>504</v>
      </c>
      <c r="F101" s="1">
        <v>0.49</v>
      </c>
      <c r="G101" s="2" t="s">
        <v>339</v>
      </c>
      <c r="H101" s="4" t="s">
        <v>324</v>
      </c>
      <c r="I101" s="4" t="str">
        <f>IF(OR(H101="",H101="Unknown"),"Unknown",IF(H101&lt;=Review_Q1,"Low Reviews",IF(H101&lt;=Review_Q3,"Medium Reviews","High Reviews")))</f>
        <v>Unknown</v>
      </c>
      <c r="J101" s="5" t="s">
        <v>324</v>
      </c>
      <c r="K101" s="2" t="s">
        <v>324</v>
      </c>
      <c r="L101" s="2" t="s">
        <v>324</v>
      </c>
    </row>
    <row r="102" spans="1:12" x14ac:dyDescent="0.25">
      <c r="A102" t="s">
        <v>292</v>
      </c>
      <c r="B102" s="3">
        <v>1080</v>
      </c>
      <c r="C102" s="2" t="s">
        <v>336</v>
      </c>
      <c r="D102" s="3">
        <v>1874</v>
      </c>
      <c r="E102" s="3">
        <v>794</v>
      </c>
      <c r="F102" s="1">
        <v>0.42</v>
      </c>
      <c r="G102" s="2" t="s">
        <v>339</v>
      </c>
      <c r="H102" s="4" t="s">
        <v>324</v>
      </c>
      <c r="I102" s="4" t="str">
        <f>IF(OR(H102="",H102="Unknown"),"Unknown",IF(H102&lt;=Review_Q1,"Low Reviews",IF(H102&lt;=Review_Q3,"Medium Reviews","High Reviews")))</f>
        <v>Unknown</v>
      </c>
      <c r="J102" s="5" t="s">
        <v>324</v>
      </c>
      <c r="K102" s="2" t="s">
        <v>324</v>
      </c>
      <c r="L102" s="2" t="s">
        <v>324</v>
      </c>
    </row>
    <row r="103" spans="1:12" x14ac:dyDescent="0.25">
      <c r="A103" t="s">
        <v>295</v>
      </c>
      <c r="B103" s="3">
        <v>3640</v>
      </c>
      <c r="C103" s="2" t="s">
        <v>340</v>
      </c>
      <c r="D103" s="3">
        <v>4588</v>
      </c>
      <c r="E103" s="3">
        <v>948</v>
      </c>
      <c r="F103" s="1">
        <v>0.21</v>
      </c>
      <c r="G103" s="2" t="s">
        <v>337</v>
      </c>
      <c r="H103" s="4">
        <v>1</v>
      </c>
      <c r="I103" s="4" t="str">
        <f>IF(OR(H103="",H103="Unknown"),"Unknown",IF(H103&lt;=Review_Q1,"Low Reviews",IF(H103&lt;=Review_Q3,"Medium Reviews","High Reviews")))</f>
        <v>Low Reviews</v>
      </c>
      <c r="J103" s="5">
        <v>5</v>
      </c>
      <c r="K103" s="2" t="s">
        <v>338</v>
      </c>
      <c r="L103" s="2" t="s">
        <v>348</v>
      </c>
    </row>
    <row r="104" spans="1:12" x14ac:dyDescent="0.25">
      <c r="A104" t="s">
        <v>298</v>
      </c>
      <c r="B104" s="3">
        <v>1420</v>
      </c>
      <c r="C104" s="2" t="s">
        <v>336</v>
      </c>
      <c r="D104" s="3">
        <v>2420</v>
      </c>
      <c r="E104" s="3">
        <v>1000</v>
      </c>
      <c r="F104" s="1">
        <v>0.41</v>
      </c>
      <c r="G104" s="2" t="s">
        <v>339</v>
      </c>
      <c r="H104" s="4" t="s">
        <v>324</v>
      </c>
      <c r="I104" s="4" t="str">
        <f>IF(OR(H104="",H104="Unknown"),"Unknown",IF(H104&lt;=Review_Q1,"Low Reviews",IF(H104&lt;=Review_Q3,"Medium Reviews","High Reviews")))</f>
        <v>Unknown</v>
      </c>
      <c r="J104" s="5" t="s">
        <v>324</v>
      </c>
      <c r="K104" s="2" t="s">
        <v>324</v>
      </c>
      <c r="L104" s="2" t="s">
        <v>324</v>
      </c>
    </row>
    <row r="105" spans="1:12" x14ac:dyDescent="0.25">
      <c r="A105" t="s">
        <v>301</v>
      </c>
      <c r="B105" s="3">
        <v>1875</v>
      </c>
      <c r="C105" s="2" t="s">
        <v>340</v>
      </c>
      <c r="D105" s="3">
        <v>1899</v>
      </c>
      <c r="E105" s="3">
        <v>24</v>
      </c>
      <c r="F105" s="1">
        <v>0.01</v>
      </c>
      <c r="G105" s="2" t="s">
        <v>341</v>
      </c>
      <c r="I105" s="4" t="str">
        <f>IF(OR(H105="",H105="Unknown"),"Unknown",IF(H105&lt;=Review_Q1,"Low Reviews",IF(H105&lt;=Review_Q3,"Medium Reviews","High Reviews")))</f>
        <v>Unknown</v>
      </c>
      <c r="K105" s="2" t="s">
        <v>330</v>
      </c>
      <c r="L105" s="2" t="s">
        <v>330</v>
      </c>
    </row>
    <row r="106" spans="1:12" x14ac:dyDescent="0.25">
      <c r="A106" t="s">
        <v>304</v>
      </c>
      <c r="B106" s="3">
        <v>198</v>
      </c>
      <c r="C106" s="2" t="s">
        <v>343</v>
      </c>
      <c r="D106" s="3">
        <v>260</v>
      </c>
      <c r="E106" s="3">
        <v>62</v>
      </c>
      <c r="F106" s="1">
        <v>0.24</v>
      </c>
      <c r="G106" s="2" t="s">
        <v>337</v>
      </c>
      <c r="I106" s="4" t="str">
        <f>IF(OR(H106="",H106="Unknown"),"Unknown",IF(H106&lt;=Review_Q1,"Low Reviews",IF(H106&lt;=Review_Q3,"Medium Reviews","High Reviews")))</f>
        <v>Unknown</v>
      </c>
      <c r="K106" s="2" t="s">
        <v>330</v>
      </c>
      <c r="L106" s="2" t="s">
        <v>330</v>
      </c>
    </row>
    <row r="107" spans="1:12" x14ac:dyDescent="0.25">
      <c r="A107" t="s">
        <v>307</v>
      </c>
      <c r="B107" s="3">
        <v>1150</v>
      </c>
      <c r="C107" s="2" t="s">
        <v>336</v>
      </c>
      <c r="D107" s="3">
        <v>1737</v>
      </c>
      <c r="E107" s="3">
        <v>587</v>
      </c>
      <c r="F107" s="1">
        <v>0.34</v>
      </c>
      <c r="G107" s="2" t="s">
        <v>337</v>
      </c>
      <c r="I107" s="4" t="str">
        <f>IF(OR(H107="",H107="Unknown"),"Unknown",IF(H107&lt;=Review_Q1,"Low Reviews",IF(H107&lt;=Review_Q3,"Medium Reviews","High Reviews")))</f>
        <v>Unknown</v>
      </c>
      <c r="K107" s="2" t="s">
        <v>330</v>
      </c>
      <c r="L107" s="2" t="s">
        <v>330</v>
      </c>
    </row>
    <row r="108" spans="1:12" x14ac:dyDescent="0.25">
      <c r="A108" t="s">
        <v>310</v>
      </c>
      <c r="B108" s="3">
        <v>1190</v>
      </c>
      <c r="C108" s="2" t="s">
        <v>336</v>
      </c>
      <c r="D108" s="3">
        <v>1810</v>
      </c>
      <c r="E108" s="3">
        <v>620</v>
      </c>
      <c r="F108" s="1">
        <v>0.34</v>
      </c>
      <c r="G108" s="2" t="s">
        <v>337</v>
      </c>
      <c r="I108" s="4" t="str">
        <f>IF(OR(H108="",H108="Unknown"),"Unknown",IF(H108&lt;=Review_Q1,"Low Reviews",IF(H108&lt;=Review_Q3,"Medium Reviews","High Reviews")))</f>
        <v>Unknown</v>
      </c>
      <c r="K108" s="2" t="s">
        <v>330</v>
      </c>
      <c r="L108" s="2" t="s">
        <v>330</v>
      </c>
    </row>
    <row r="109" spans="1:12" x14ac:dyDescent="0.25">
      <c r="A109" t="s">
        <v>312</v>
      </c>
      <c r="B109" s="3">
        <v>1658</v>
      </c>
      <c r="C109" s="2" t="s">
        <v>336</v>
      </c>
      <c r="D109" s="3">
        <v>1699</v>
      </c>
      <c r="E109" s="3">
        <v>41</v>
      </c>
      <c r="F109" s="1">
        <v>0.02</v>
      </c>
      <c r="G109" s="2" t="s">
        <v>341</v>
      </c>
      <c r="I109" s="4" t="str">
        <f>IF(OR(H109="",H109="Unknown"),"Unknown",IF(H109&lt;=Review_Q1,"Low Reviews",IF(H109&lt;=Review_Q3,"Medium Reviews","High Reviews")))</f>
        <v>Unknown</v>
      </c>
      <c r="K109" s="2" t="s">
        <v>330</v>
      </c>
      <c r="L109" s="2" t="s">
        <v>330</v>
      </c>
    </row>
    <row r="110" spans="1:12" x14ac:dyDescent="0.25">
      <c r="A110" t="s">
        <v>314</v>
      </c>
      <c r="B110" s="3">
        <v>1768</v>
      </c>
      <c r="C110" s="2" t="s">
        <v>340</v>
      </c>
      <c r="D110" s="3">
        <v>1799</v>
      </c>
      <c r="E110" s="3">
        <v>31</v>
      </c>
      <c r="F110" s="1">
        <v>0.02</v>
      </c>
      <c r="G110" s="2" t="s">
        <v>341</v>
      </c>
      <c r="I110" s="4" t="str">
        <f>IF(OR(H110="",H110="Unknown"),"Unknown",IF(H110&lt;=Review_Q1,"Low Reviews",IF(H110&lt;=Review_Q3,"Medium Reviews","High Reviews")))</f>
        <v>Unknown</v>
      </c>
      <c r="K110" s="2" t="s">
        <v>330</v>
      </c>
      <c r="L110" s="2" t="s">
        <v>330</v>
      </c>
    </row>
    <row r="111" spans="1:12" x14ac:dyDescent="0.25">
      <c r="A111" t="s">
        <v>316</v>
      </c>
      <c r="B111" s="3">
        <v>199</v>
      </c>
      <c r="C111" s="2" t="s">
        <v>343</v>
      </c>
      <c r="D111" s="3">
        <v>553</v>
      </c>
      <c r="E111" s="3">
        <v>354</v>
      </c>
      <c r="F111" s="1">
        <v>0.64</v>
      </c>
      <c r="G111" s="2" t="s">
        <v>339</v>
      </c>
      <c r="H111" s="4" t="s">
        <v>324</v>
      </c>
      <c r="I111" s="4" t="str">
        <f>IF(OR(H111="",H111="Unknown"),"Unknown",IF(H111&lt;=Review_Q1,"Low Reviews",IF(H111&lt;=Review_Q3,"Medium Reviews","High Reviews")))</f>
        <v>Unknown</v>
      </c>
      <c r="J111" s="5" t="s">
        <v>324</v>
      </c>
      <c r="K111" s="2" t="s">
        <v>324</v>
      </c>
      <c r="L111" s="2" t="s">
        <v>324</v>
      </c>
    </row>
    <row r="112" spans="1:12" x14ac:dyDescent="0.25">
      <c r="A112" t="s">
        <v>318</v>
      </c>
      <c r="B112" s="3">
        <v>450</v>
      </c>
      <c r="C112" s="2" t="s">
        <v>343</v>
      </c>
      <c r="D112" s="3">
        <v>900</v>
      </c>
      <c r="E112" s="3">
        <v>450</v>
      </c>
      <c r="F112" s="1">
        <v>0.5</v>
      </c>
      <c r="G112" s="2" t="s">
        <v>339</v>
      </c>
      <c r="H112" s="4">
        <v>1</v>
      </c>
      <c r="I112" s="4" t="str">
        <f>IF(OR(H112="",H112="Unknown"),"Unknown",IF(H112&lt;=Review_Q1,"Low Reviews",IF(H112&lt;=Review_Q3,"Medium Reviews","High Reviews")))</f>
        <v>Low Reviews</v>
      </c>
      <c r="J112" s="5">
        <v>2</v>
      </c>
      <c r="K112" s="2" t="s">
        <v>344</v>
      </c>
      <c r="L112" s="2" t="s">
        <v>348</v>
      </c>
    </row>
    <row r="113" spans="1:12" x14ac:dyDescent="0.25">
      <c r="A113" t="s">
        <v>320</v>
      </c>
      <c r="B113" s="3">
        <v>169</v>
      </c>
      <c r="C113" s="2" t="s">
        <v>343</v>
      </c>
      <c r="D113" s="3">
        <v>320</v>
      </c>
      <c r="E113" s="3">
        <v>151</v>
      </c>
      <c r="F113" s="1">
        <v>0.47</v>
      </c>
      <c r="G113" s="2" t="s">
        <v>339</v>
      </c>
      <c r="H113" s="4" t="s">
        <v>324</v>
      </c>
      <c r="I113" s="4" t="str">
        <f>IF(OR(H113="",H113="Unknown"),"Unknown",IF(H113&lt;=Review_Q1,"Low Reviews",IF(H113&lt;=Review_Q3,"Medium Reviews","High Reviews")))</f>
        <v>Unknown</v>
      </c>
      <c r="J113" s="5" t="s">
        <v>324</v>
      </c>
      <c r="K113" s="2" t="s">
        <v>324</v>
      </c>
      <c r="L113" s="2" t="s">
        <v>324</v>
      </c>
    </row>
  </sheetData>
  <autoFilter ref="A1:L113" xr:uid="{9375F75C-AA3D-4019-98FF-C86B627E644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4115D-15A4-4FA9-B7C1-D9BCE45521D5}">
  <dimension ref="A1:K116"/>
  <sheetViews>
    <sheetView topLeftCell="B18" zoomScale="102" zoomScaleNormal="100" workbookViewId="0">
      <selection activeCell="K17" sqref="K17"/>
    </sheetView>
  </sheetViews>
  <sheetFormatPr defaultRowHeight="15" x14ac:dyDescent="0.25"/>
  <cols>
    <col min="1" max="1" width="95.7109375" bestFit="1" customWidth="1"/>
    <col min="2" max="2" width="16.5703125" style="3" bestFit="1" customWidth="1"/>
    <col min="3" max="3" width="13.85546875" style="2" bestFit="1" customWidth="1"/>
    <col min="4" max="4" width="13" style="3" bestFit="1" customWidth="1"/>
    <col min="5" max="5" width="16.42578125" style="3" bestFit="1" customWidth="1"/>
    <col min="6" max="6" width="8.7109375" style="1" bestFit="1" customWidth="1"/>
    <col min="7" max="7" width="17.28515625" style="2" bestFit="1" customWidth="1"/>
    <col min="8" max="8" width="9.42578125" style="4" bestFit="1" customWidth="1"/>
    <col min="9" max="9" width="9.42578125" style="5" bestFit="1" customWidth="1"/>
    <col min="10" max="10" width="19.42578125" style="2" bestFit="1" customWidth="1"/>
    <col min="11" max="11" width="19.42578125" style="6" customWidth="1"/>
  </cols>
  <sheetData>
    <row r="1" spans="1:10" x14ac:dyDescent="0.25">
      <c r="A1" t="s">
        <v>0</v>
      </c>
      <c r="B1" s="3" t="s">
        <v>1</v>
      </c>
      <c r="C1" s="2" t="s">
        <v>335</v>
      </c>
      <c r="D1" s="3" t="s">
        <v>331</v>
      </c>
      <c r="E1" s="3" t="s">
        <v>332</v>
      </c>
      <c r="F1" s="1" t="s">
        <v>3</v>
      </c>
      <c r="G1" s="2" t="s">
        <v>334</v>
      </c>
      <c r="H1" s="4" t="s">
        <v>4</v>
      </c>
      <c r="I1" s="5" t="s">
        <v>323</v>
      </c>
      <c r="J1" s="2" t="s">
        <v>333</v>
      </c>
    </row>
    <row r="2" spans="1:10" x14ac:dyDescent="0.25">
      <c r="A2" t="s">
        <v>325</v>
      </c>
      <c r="B2" s="3">
        <v>950</v>
      </c>
      <c r="C2" s="2" t="s">
        <v>336</v>
      </c>
      <c r="D2" s="3">
        <v>1525</v>
      </c>
      <c r="E2" s="3">
        <v>575</v>
      </c>
      <c r="F2" s="1">
        <v>0.38</v>
      </c>
      <c r="G2" s="2" t="s">
        <v>337</v>
      </c>
      <c r="H2" s="4">
        <v>2</v>
      </c>
      <c r="I2" s="5">
        <v>4.5</v>
      </c>
      <c r="J2" s="2" t="s">
        <v>338</v>
      </c>
    </row>
    <row r="3" spans="1:10" x14ac:dyDescent="0.25">
      <c r="A3" t="s">
        <v>10</v>
      </c>
      <c r="B3" s="3">
        <v>527</v>
      </c>
      <c r="C3" s="2" t="s">
        <v>336</v>
      </c>
      <c r="D3" s="3">
        <v>999</v>
      </c>
      <c r="E3" s="3">
        <v>472</v>
      </c>
      <c r="F3" s="1">
        <v>0.47</v>
      </c>
      <c r="G3" s="2" t="s">
        <v>339</v>
      </c>
      <c r="H3" s="4">
        <v>14</v>
      </c>
      <c r="I3" s="5">
        <v>4.0999999999999996</v>
      </c>
      <c r="J3" s="2" t="s">
        <v>338</v>
      </c>
    </row>
    <row r="4" spans="1:10" x14ac:dyDescent="0.25">
      <c r="A4" t="s">
        <v>14</v>
      </c>
      <c r="B4" s="3">
        <v>2199</v>
      </c>
      <c r="C4" s="2" t="s">
        <v>340</v>
      </c>
      <c r="D4" s="3">
        <v>2923</v>
      </c>
      <c r="E4" s="3">
        <v>724</v>
      </c>
      <c r="F4" s="1">
        <v>0.25</v>
      </c>
      <c r="G4" s="2" t="s">
        <v>337</v>
      </c>
      <c r="H4" s="4">
        <v>24</v>
      </c>
      <c r="I4" s="5">
        <v>4.5999999999999996</v>
      </c>
      <c r="J4" s="2" t="s">
        <v>338</v>
      </c>
    </row>
    <row r="5" spans="1:10" x14ac:dyDescent="0.25">
      <c r="A5" t="s">
        <v>18</v>
      </c>
      <c r="B5" s="3">
        <v>1580</v>
      </c>
      <c r="C5" s="2" t="s">
        <v>336</v>
      </c>
      <c r="D5" s="3">
        <v>2499</v>
      </c>
      <c r="E5" s="3">
        <v>919</v>
      </c>
      <c r="F5" s="1">
        <v>0.37</v>
      </c>
      <c r="G5" s="2" t="s">
        <v>337</v>
      </c>
      <c r="H5" s="4">
        <v>7</v>
      </c>
      <c r="I5" s="5">
        <v>4.7</v>
      </c>
      <c r="J5" s="2" t="s">
        <v>338</v>
      </c>
    </row>
    <row r="6" spans="1:10" x14ac:dyDescent="0.25">
      <c r="A6" t="s">
        <v>22</v>
      </c>
      <c r="B6" s="3">
        <v>1740</v>
      </c>
      <c r="C6" s="2" t="s">
        <v>340</v>
      </c>
      <c r="D6" s="3">
        <v>2356</v>
      </c>
      <c r="E6" s="3">
        <v>616</v>
      </c>
      <c r="F6" s="1">
        <v>0.26</v>
      </c>
      <c r="G6" s="2" t="s">
        <v>337</v>
      </c>
      <c r="H6" s="4">
        <v>5</v>
      </c>
      <c r="I6" s="5">
        <v>4.8</v>
      </c>
      <c r="J6" s="2" t="s">
        <v>338</v>
      </c>
    </row>
    <row r="7" spans="1:10" x14ac:dyDescent="0.25">
      <c r="A7" t="s">
        <v>26</v>
      </c>
      <c r="B7" s="3">
        <v>2999</v>
      </c>
      <c r="C7" s="2" t="s">
        <v>340</v>
      </c>
      <c r="D7" s="3">
        <v>3290</v>
      </c>
      <c r="E7" s="3">
        <v>291</v>
      </c>
      <c r="F7" s="1">
        <v>0.09</v>
      </c>
      <c r="G7" s="2" t="s">
        <v>341</v>
      </c>
      <c r="H7" s="4">
        <v>15</v>
      </c>
      <c r="I7" s="5">
        <v>4</v>
      </c>
      <c r="J7" s="2" t="s">
        <v>342</v>
      </c>
    </row>
    <row r="8" spans="1:10" x14ac:dyDescent="0.25">
      <c r="A8" t="s">
        <v>30</v>
      </c>
      <c r="B8" s="3">
        <v>2319</v>
      </c>
      <c r="C8" s="2" t="s">
        <v>340</v>
      </c>
      <c r="D8" s="3">
        <v>3032</v>
      </c>
      <c r="E8" s="3">
        <v>713</v>
      </c>
      <c r="F8" s="1">
        <v>0.24</v>
      </c>
      <c r="G8" s="2" t="s">
        <v>337</v>
      </c>
      <c r="H8" s="4">
        <v>55</v>
      </c>
      <c r="I8" s="5">
        <v>4.5999999999999996</v>
      </c>
      <c r="J8" s="2" t="s">
        <v>338</v>
      </c>
    </row>
    <row r="9" spans="1:10" x14ac:dyDescent="0.25">
      <c r="A9" t="s">
        <v>33</v>
      </c>
      <c r="B9" s="3">
        <v>988</v>
      </c>
      <c r="C9" s="2" t="s">
        <v>336</v>
      </c>
      <c r="D9" s="3">
        <v>1580</v>
      </c>
      <c r="E9" s="3">
        <v>592</v>
      </c>
      <c r="F9" s="1">
        <v>0.37</v>
      </c>
      <c r="G9" s="2" t="s">
        <v>337</v>
      </c>
      <c r="H9" s="4">
        <v>2</v>
      </c>
      <c r="I9" s="5">
        <v>4</v>
      </c>
      <c r="J9" s="2" t="s">
        <v>342</v>
      </c>
    </row>
    <row r="10" spans="1:10" x14ac:dyDescent="0.25">
      <c r="A10" t="s">
        <v>35</v>
      </c>
      <c r="B10" s="3">
        <v>1274</v>
      </c>
      <c r="C10" s="2" t="s">
        <v>336</v>
      </c>
      <c r="D10" s="3">
        <v>2800</v>
      </c>
      <c r="E10" s="3">
        <v>1526</v>
      </c>
      <c r="F10" s="1">
        <v>0.55000000000000004</v>
      </c>
      <c r="G10" s="2" t="s">
        <v>339</v>
      </c>
      <c r="H10" s="4">
        <v>5</v>
      </c>
      <c r="I10" s="5">
        <v>4.8</v>
      </c>
      <c r="J10" s="2" t="s">
        <v>338</v>
      </c>
    </row>
    <row r="11" spans="1:10" x14ac:dyDescent="0.25">
      <c r="A11" t="s">
        <v>38</v>
      </c>
      <c r="B11" s="3">
        <v>1600</v>
      </c>
      <c r="C11" s="2" t="s">
        <v>336</v>
      </c>
      <c r="D11" s="3">
        <v>2929</v>
      </c>
      <c r="E11" s="3">
        <v>1329</v>
      </c>
      <c r="F11" s="1">
        <v>0.45</v>
      </c>
      <c r="G11" s="2" t="s">
        <v>339</v>
      </c>
      <c r="H11" s="4">
        <v>5</v>
      </c>
      <c r="I11" s="5">
        <v>3.8</v>
      </c>
      <c r="J11" s="2" t="s">
        <v>342</v>
      </c>
    </row>
    <row r="12" spans="1:10" x14ac:dyDescent="0.25">
      <c r="A12" t="s">
        <v>42</v>
      </c>
      <c r="B12" s="3">
        <v>799</v>
      </c>
      <c r="C12" s="2" t="s">
        <v>336</v>
      </c>
      <c r="D12" s="3">
        <v>999</v>
      </c>
      <c r="E12" s="3">
        <v>200</v>
      </c>
      <c r="F12" s="1">
        <v>0.2</v>
      </c>
      <c r="G12" s="2" t="s">
        <v>337</v>
      </c>
      <c r="H12" s="4">
        <v>12</v>
      </c>
      <c r="I12" s="5">
        <v>4.0999999999999996</v>
      </c>
      <c r="J12" s="2" t="s">
        <v>338</v>
      </c>
    </row>
    <row r="13" spans="1:10" x14ac:dyDescent="0.25">
      <c r="A13" t="s">
        <v>44</v>
      </c>
      <c r="B13" s="3">
        <v>990</v>
      </c>
      <c r="C13" s="2" t="s">
        <v>336</v>
      </c>
      <c r="D13" s="3">
        <v>1500</v>
      </c>
      <c r="E13" s="3">
        <v>510</v>
      </c>
      <c r="F13" s="1">
        <v>0.34</v>
      </c>
      <c r="G13" s="2" t="s">
        <v>337</v>
      </c>
      <c r="H13" s="4">
        <v>39</v>
      </c>
      <c r="I13" s="5">
        <v>4.7</v>
      </c>
      <c r="J13" s="2" t="s">
        <v>338</v>
      </c>
    </row>
    <row r="14" spans="1:10" x14ac:dyDescent="0.25">
      <c r="A14" t="s">
        <v>47</v>
      </c>
      <c r="B14" s="3">
        <v>552</v>
      </c>
      <c r="C14" s="2" t="s">
        <v>336</v>
      </c>
      <c r="D14" s="3">
        <v>1035</v>
      </c>
      <c r="E14" s="3">
        <v>483</v>
      </c>
      <c r="F14" s="1">
        <v>0.47</v>
      </c>
      <c r="G14" s="2" t="s">
        <v>339</v>
      </c>
      <c r="H14" s="4">
        <v>12</v>
      </c>
      <c r="I14" s="5">
        <v>4.8</v>
      </c>
      <c r="J14" s="2" t="s">
        <v>338</v>
      </c>
    </row>
    <row r="15" spans="1:10" x14ac:dyDescent="0.25">
      <c r="A15" t="s">
        <v>50</v>
      </c>
      <c r="B15" s="3">
        <v>501</v>
      </c>
      <c r="C15" s="2" t="s">
        <v>336</v>
      </c>
      <c r="D15" s="3">
        <v>860</v>
      </c>
      <c r="E15" s="3">
        <v>359</v>
      </c>
      <c r="F15" s="1">
        <v>0.42</v>
      </c>
      <c r="G15" s="2" t="s">
        <v>339</v>
      </c>
      <c r="H15" s="4">
        <v>6</v>
      </c>
      <c r="I15" s="5">
        <v>4.5</v>
      </c>
      <c r="J15" s="2" t="s">
        <v>338</v>
      </c>
    </row>
    <row r="16" spans="1:10" x14ac:dyDescent="0.25">
      <c r="A16" t="s">
        <v>53</v>
      </c>
      <c r="B16" s="3">
        <v>1680</v>
      </c>
      <c r="C16" s="2" t="s">
        <v>340</v>
      </c>
      <c r="D16" s="3">
        <v>2499</v>
      </c>
      <c r="E16" s="3">
        <v>819</v>
      </c>
      <c r="F16" s="1">
        <v>0.33</v>
      </c>
      <c r="G16" s="2" t="s">
        <v>337</v>
      </c>
      <c r="H16" s="4">
        <v>9</v>
      </c>
      <c r="I16" s="5">
        <v>4.2</v>
      </c>
      <c r="J16" s="2" t="s">
        <v>338</v>
      </c>
    </row>
    <row r="17" spans="1:10" x14ac:dyDescent="0.25">
      <c r="A17" t="s">
        <v>326</v>
      </c>
      <c r="B17" s="3">
        <v>332</v>
      </c>
      <c r="C17" s="2" t="s">
        <v>343</v>
      </c>
      <c r="D17" s="3">
        <v>684</v>
      </c>
      <c r="E17" s="3">
        <v>352</v>
      </c>
      <c r="F17" s="1">
        <v>0.51</v>
      </c>
      <c r="G17" s="2" t="s">
        <v>339</v>
      </c>
      <c r="H17" s="4">
        <v>2</v>
      </c>
      <c r="I17" s="5">
        <v>5</v>
      </c>
      <c r="J17" s="2" t="s">
        <v>338</v>
      </c>
    </row>
    <row r="18" spans="1:10" x14ac:dyDescent="0.25">
      <c r="A18" t="s">
        <v>327</v>
      </c>
      <c r="B18" s="3">
        <v>195</v>
      </c>
      <c r="C18" s="2" t="s">
        <v>343</v>
      </c>
      <c r="D18" s="3">
        <v>360</v>
      </c>
      <c r="E18" s="3">
        <v>165</v>
      </c>
      <c r="F18" s="1">
        <v>0.46</v>
      </c>
      <c r="G18" s="2" t="s">
        <v>339</v>
      </c>
      <c r="H18" s="4">
        <v>2</v>
      </c>
      <c r="I18" s="5">
        <v>5</v>
      </c>
      <c r="J18" s="2" t="s">
        <v>338</v>
      </c>
    </row>
    <row r="19" spans="1:10" x14ac:dyDescent="0.25">
      <c r="A19" t="s">
        <v>63</v>
      </c>
      <c r="B19" s="3">
        <v>2025</v>
      </c>
      <c r="C19" s="2" t="s">
        <v>340</v>
      </c>
      <c r="D19" s="3">
        <v>3971</v>
      </c>
      <c r="E19" s="3">
        <v>1946</v>
      </c>
      <c r="F19" s="1">
        <v>0.49</v>
      </c>
      <c r="G19" s="2" t="s">
        <v>339</v>
      </c>
      <c r="H19" s="4">
        <v>3</v>
      </c>
      <c r="I19" s="5">
        <v>5</v>
      </c>
      <c r="J19" s="2" t="s">
        <v>338</v>
      </c>
    </row>
    <row r="20" spans="1:10" x14ac:dyDescent="0.25">
      <c r="A20" t="s">
        <v>66</v>
      </c>
      <c r="B20" s="3">
        <v>2999</v>
      </c>
      <c r="C20" s="2" t="s">
        <v>340</v>
      </c>
      <c r="D20" s="3">
        <v>3699</v>
      </c>
      <c r="E20" s="3">
        <v>700</v>
      </c>
      <c r="F20" s="1">
        <v>0.19</v>
      </c>
      <c r="G20" s="2" t="s">
        <v>341</v>
      </c>
      <c r="H20" s="4">
        <v>5</v>
      </c>
      <c r="I20" s="5">
        <v>4.5999999999999996</v>
      </c>
      <c r="J20" s="2" t="s">
        <v>338</v>
      </c>
    </row>
    <row r="21" spans="1:10" x14ac:dyDescent="0.25">
      <c r="A21" t="s">
        <v>68</v>
      </c>
      <c r="B21" s="3">
        <v>998</v>
      </c>
      <c r="C21" s="2" t="s">
        <v>336</v>
      </c>
      <c r="D21" s="3">
        <v>1966</v>
      </c>
      <c r="E21" s="3">
        <v>968</v>
      </c>
      <c r="F21" s="1">
        <v>0.49</v>
      </c>
      <c r="G21" s="2" t="s">
        <v>339</v>
      </c>
      <c r="H21" s="4">
        <v>44</v>
      </c>
      <c r="I21" s="5">
        <v>4.5999999999999996</v>
      </c>
      <c r="J21" s="2" t="s">
        <v>338</v>
      </c>
    </row>
    <row r="22" spans="1:10" x14ac:dyDescent="0.25">
      <c r="A22" t="s">
        <v>71</v>
      </c>
      <c r="B22" s="3">
        <v>38</v>
      </c>
      <c r="C22" s="2" t="s">
        <v>343</v>
      </c>
      <c r="D22" s="3">
        <v>80</v>
      </c>
      <c r="E22" s="3">
        <v>42</v>
      </c>
      <c r="F22" s="1">
        <v>0.53</v>
      </c>
      <c r="G22" s="2" t="s">
        <v>339</v>
      </c>
      <c r="H22" s="4">
        <v>13</v>
      </c>
      <c r="I22" s="5">
        <v>3.3</v>
      </c>
      <c r="J22" s="2" t="s">
        <v>342</v>
      </c>
    </row>
    <row r="23" spans="1:10" x14ac:dyDescent="0.25">
      <c r="A23" t="s">
        <v>75</v>
      </c>
      <c r="B23" s="3">
        <v>1860</v>
      </c>
      <c r="C23" s="2" t="s">
        <v>340</v>
      </c>
      <c r="D23" s="3">
        <v>3220</v>
      </c>
      <c r="E23" s="3">
        <v>1360</v>
      </c>
      <c r="F23" s="1">
        <v>0.42</v>
      </c>
      <c r="G23" s="2" t="s">
        <v>339</v>
      </c>
      <c r="H23" s="4" t="s">
        <v>324</v>
      </c>
      <c r="I23" s="5" t="s">
        <v>324</v>
      </c>
      <c r="J23" s="2" t="s">
        <v>324</v>
      </c>
    </row>
    <row r="24" spans="1:10" x14ac:dyDescent="0.25">
      <c r="A24" t="s">
        <v>78</v>
      </c>
      <c r="B24" s="3">
        <v>880</v>
      </c>
      <c r="C24" s="2" t="s">
        <v>336</v>
      </c>
      <c r="D24" s="3">
        <v>1350</v>
      </c>
      <c r="E24" s="3">
        <v>470</v>
      </c>
      <c r="F24" s="1">
        <v>0.35</v>
      </c>
      <c r="G24" s="2" t="s">
        <v>337</v>
      </c>
      <c r="H24" s="4">
        <v>6</v>
      </c>
      <c r="I24" s="5">
        <v>4</v>
      </c>
      <c r="J24" s="2" t="s">
        <v>342</v>
      </c>
    </row>
    <row r="25" spans="1:10" x14ac:dyDescent="0.25">
      <c r="A25" t="s">
        <v>81</v>
      </c>
      <c r="B25" s="3">
        <v>1650</v>
      </c>
      <c r="C25" s="2" t="s">
        <v>336</v>
      </c>
      <c r="D25" s="3">
        <v>2150</v>
      </c>
      <c r="E25" s="3">
        <v>500</v>
      </c>
      <c r="F25" s="1">
        <v>0.23</v>
      </c>
      <c r="G25" s="2" t="s">
        <v>337</v>
      </c>
      <c r="H25" s="4">
        <v>14</v>
      </c>
      <c r="I25" s="5">
        <v>4.4000000000000004</v>
      </c>
      <c r="J25" s="2" t="s">
        <v>338</v>
      </c>
    </row>
    <row r="26" spans="1:10" x14ac:dyDescent="0.25">
      <c r="A26" t="s">
        <v>85</v>
      </c>
      <c r="B26" s="3">
        <v>2048</v>
      </c>
      <c r="C26" s="2" t="s">
        <v>340</v>
      </c>
      <c r="D26" s="3">
        <v>4500</v>
      </c>
      <c r="E26" s="3">
        <v>2452</v>
      </c>
      <c r="F26" s="1">
        <v>0.54</v>
      </c>
      <c r="G26" s="2" t="s">
        <v>339</v>
      </c>
      <c r="H26" s="4">
        <v>7</v>
      </c>
      <c r="I26" s="5">
        <v>4.3</v>
      </c>
      <c r="J26" s="2" t="s">
        <v>338</v>
      </c>
    </row>
    <row r="27" spans="1:10" x14ac:dyDescent="0.25">
      <c r="A27" t="s">
        <v>89</v>
      </c>
      <c r="B27" s="3">
        <v>420</v>
      </c>
      <c r="C27" s="2" t="s">
        <v>343</v>
      </c>
      <c r="D27" s="3">
        <v>647</v>
      </c>
      <c r="E27" s="3">
        <v>227</v>
      </c>
      <c r="F27" s="1">
        <v>0.35</v>
      </c>
      <c r="G27" s="2" t="s">
        <v>337</v>
      </c>
      <c r="H27" s="4">
        <v>49</v>
      </c>
      <c r="I27" s="5">
        <v>4.5999999999999996</v>
      </c>
      <c r="J27" s="2" t="s">
        <v>338</v>
      </c>
    </row>
    <row r="28" spans="1:10" x14ac:dyDescent="0.25">
      <c r="A28" t="s">
        <v>92</v>
      </c>
      <c r="B28" s="3">
        <v>2880</v>
      </c>
      <c r="C28" s="2" t="s">
        <v>340</v>
      </c>
      <c r="D28" s="3">
        <v>3520</v>
      </c>
      <c r="E28" s="3">
        <v>640</v>
      </c>
      <c r="F28" s="1">
        <v>0.18</v>
      </c>
      <c r="G28" s="2" t="s">
        <v>341</v>
      </c>
      <c r="H28" s="4">
        <v>12</v>
      </c>
      <c r="I28" s="5">
        <v>3.8</v>
      </c>
      <c r="J28" s="2" t="s">
        <v>342</v>
      </c>
    </row>
    <row r="29" spans="1:10" x14ac:dyDescent="0.25">
      <c r="A29" t="s">
        <v>95</v>
      </c>
      <c r="B29" s="3">
        <v>1350</v>
      </c>
      <c r="C29" s="2" t="s">
        <v>336</v>
      </c>
      <c r="D29" s="3">
        <v>1990</v>
      </c>
      <c r="E29" s="3">
        <v>640</v>
      </c>
      <c r="F29" s="1">
        <v>0.32</v>
      </c>
      <c r="G29" s="2" t="s">
        <v>337</v>
      </c>
      <c r="H29" s="4">
        <v>13</v>
      </c>
      <c r="I29" s="5">
        <v>3.8</v>
      </c>
      <c r="J29" s="2" t="s">
        <v>342</v>
      </c>
    </row>
    <row r="30" spans="1:10" x14ac:dyDescent="0.25">
      <c r="A30" t="s">
        <v>97</v>
      </c>
      <c r="B30" s="3">
        <v>1758</v>
      </c>
      <c r="C30" s="2" t="s">
        <v>340</v>
      </c>
      <c r="D30" s="3">
        <v>2499</v>
      </c>
      <c r="E30" s="3">
        <v>741</v>
      </c>
      <c r="F30" s="1">
        <v>0.3</v>
      </c>
      <c r="G30" s="2" t="s">
        <v>337</v>
      </c>
      <c r="H30" s="4">
        <v>20</v>
      </c>
      <c r="I30" s="5">
        <v>4.0999999999999996</v>
      </c>
      <c r="J30" s="2" t="s">
        <v>338</v>
      </c>
    </row>
    <row r="31" spans="1:10" x14ac:dyDescent="0.25">
      <c r="A31" t="s">
        <v>99</v>
      </c>
      <c r="B31" s="3">
        <v>2200</v>
      </c>
      <c r="C31" s="2" t="s">
        <v>340</v>
      </c>
      <c r="D31" s="3">
        <v>4080</v>
      </c>
      <c r="E31" s="3">
        <v>1880</v>
      </c>
      <c r="F31" s="1">
        <v>0.46</v>
      </c>
      <c r="G31" s="2" t="s">
        <v>339</v>
      </c>
      <c r="H31" s="4" t="s">
        <v>324</v>
      </c>
      <c r="I31" s="5" t="s">
        <v>324</v>
      </c>
      <c r="J31" s="2" t="s">
        <v>324</v>
      </c>
    </row>
    <row r="32" spans="1:10" x14ac:dyDescent="0.25">
      <c r="A32" t="s">
        <v>102</v>
      </c>
      <c r="B32" s="3">
        <v>185</v>
      </c>
      <c r="C32" s="2" t="s">
        <v>343</v>
      </c>
      <c r="D32" s="3">
        <v>382</v>
      </c>
      <c r="E32" s="3">
        <v>197</v>
      </c>
      <c r="F32" s="1">
        <v>0.52</v>
      </c>
      <c r="G32" s="2" t="s">
        <v>339</v>
      </c>
      <c r="H32" s="4">
        <v>9</v>
      </c>
      <c r="I32" s="5">
        <v>4.3</v>
      </c>
      <c r="J32" s="2" t="s">
        <v>338</v>
      </c>
    </row>
    <row r="33" spans="1:10" x14ac:dyDescent="0.25">
      <c r="A33" t="s">
        <v>105</v>
      </c>
      <c r="B33" s="3">
        <v>980</v>
      </c>
      <c r="C33" s="2" t="s">
        <v>336</v>
      </c>
      <c r="D33" s="3">
        <v>1490</v>
      </c>
      <c r="E33" s="3">
        <v>510</v>
      </c>
      <c r="F33" s="1">
        <v>0.34</v>
      </c>
      <c r="G33" s="2" t="s">
        <v>337</v>
      </c>
      <c r="H33" s="4">
        <v>12</v>
      </c>
      <c r="I33" s="5">
        <v>4.7</v>
      </c>
      <c r="J33" s="2" t="s">
        <v>338</v>
      </c>
    </row>
    <row r="34" spans="1:10" x14ac:dyDescent="0.25">
      <c r="A34" t="s">
        <v>328</v>
      </c>
      <c r="B34" s="3">
        <v>1820</v>
      </c>
      <c r="C34" s="2" t="s">
        <v>340</v>
      </c>
      <c r="D34" s="3">
        <v>3490</v>
      </c>
      <c r="E34" s="3">
        <v>1670</v>
      </c>
      <c r="F34" s="1">
        <v>0.48</v>
      </c>
      <c r="G34" s="2" t="s">
        <v>339</v>
      </c>
      <c r="H34" s="4">
        <v>9</v>
      </c>
      <c r="I34" s="5">
        <v>4.3</v>
      </c>
      <c r="J34" s="2" t="s">
        <v>338</v>
      </c>
    </row>
    <row r="35" spans="1:10" x14ac:dyDescent="0.25">
      <c r="A35" t="s">
        <v>111</v>
      </c>
      <c r="B35" s="3">
        <v>1940</v>
      </c>
      <c r="C35" s="2" t="s">
        <v>340</v>
      </c>
      <c r="D35" s="3">
        <v>2650</v>
      </c>
      <c r="E35" s="3">
        <v>710</v>
      </c>
      <c r="F35" s="1">
        <v>0.27</v>
      </c>
      <c r="G35" s="2" t="s">
        <v>337</v>
      </c>
      <c r="H35" s="4">
        <v>20</v>
      </c>
      <c r="I35" s="5">
        <v>4.7</v>
      </c>
      <c r="J35" s="2" t="s">
        <v>338</v>
      </c>
    </row>
    <row r="36" spans="1:10" x14ac:dyDescent="0.25">
      <c r="A36" t="s">
        <v>114</v>
      </c>
      <c r="B36" s="3">
        <v>1980</v>
      </c>
      <c r="C36" s="2" t="s">
        <v>340</v>
      </c>
      <c r="D36" s="3">
        <v>2699</v>
      </c>
      <c r="E36" s="3">
        <v>719</v>
      </c>
      <c r="F36" s="1">
        <v>0.27</v>
      </c>
      <c r="G36" s="2" t="s">
        <v>337</v>
      </c>
      <c r="H36" s="4">
        <v>32</v>
      </c>
      <c r="I36" s="5">
        <v>4.5</v>
      </c>
      <c r="J36" s="2" t="s">
        <v>338</v>
      </c>
    </row>
    <row r="37" spans="1:10" x14ac:dyDescent="0.25">
      <c r="A37" t="s">
        <v>117</v>
      </c>
      <c r="B37" s="3">
        <v>1620</v>
      </c>
      <c r="C37" s="2" t="s">
        <v>336</v>
      </c>
      <c r="D37" s="3">
        <v>2690</v>
      </c>
      <c r="E37" s="3">
        <v>1070</v>
      </c>
      <c r="F37" s="1">
        <v>0.4</v>
      </c>
      <c r="G37" s="2" t="s">
        <v>337</v>
      </c>
      <c r="H37" s="4">
        <v>1</v>
      </c>
      <c r="I37" s="5">
        <v>5</v>
      </c>
      <c r="J37" s="2" t="s">
        <v>338</v>
      </c>
    </row>
    <row r="38" spans="1:10" x14ac:dyDescent="0.25">
      <c r="A38" t="s">
        <v>120</v>
      </c>
      <c r="B38" s="3">
        <v>171</v>
      </c>
      <c r="C38" s="2" t="s">
        <v>343</v>
      </c>
      <c r="D38" s="3">
        <v>360</v>
      </c>
      <c r="E38" s="3">
        <v>189</v>
      </c>
      <c r="F38" s="1">
        <v>0.53</v>
      </c>
      <c r="G38" s="2" t="s">
        <v>339</v>
      </c>
      <c r="H38" s="4">
        <v>2</v>
      </c>
      <c r="I38" s="5">
        <v>5</v>
      </c>
      <c r="J38" s="2" t="s">
        <v>338</v>
      </c>
    </row>
    <row r="39" spans="1:10" x14ac:dyDescent="0.25">
      <c r="A39" t="s">
        <v>122</v>
      </c>
      <c r="B39" s="3">
        <v>389</v>
      </c>
      <c r="C39" s="2" t="s">
        <v>343</v>
      </c>
      <c r="D39" s="3">
        <v>656</v>
      </c>
      <c r="E39" s="3">
        <v>267</v>
      </c>
      <c r="F39" s="1">
        <v>0.41</v>
      </c>
      <c r="G39" s="2" t="s">
        <v>339</v>
      </c>
      <c r="H39" s="4">
        <v>36</v>
      </c>
      <c r="I39" s="5">
        <v>4.3</v>
      </c>
      <c r="J39" s="2" t="s">
        <v>338</v>
      </c>
    </row>
    <row r="40" spans="1:10" x14ac:dyDescent="0.25">
      <c r="A40" t="s">
        <v>125</v>
      </c>
      <c r="B40" s="3">
        <v>1800</v>
      </c>
      <c r="C40" s="2" t="s">
        <v>340</v>
      </c>
      <c r="D40" s="3">
        <v>2700</v>
      </c>
      <c r="E40" s="3">
        <v>900</v>
      </c>
      <c r="F40" s="1">
        <v>0.38</v>
      </c>
      <c r="G40" s="2" t="s">
        <v>337</v>
      </c>
      <c r="H40" s="4">
        <v>2</v>
      </c>
      <c r="I40" s="5">
        <v>4.5</v>
      </c>
      <c r="J40" s="2" t="s">
        <v>338</v>
      </c>
    </row>
    <row r="41" spans="1:10" x14ac:dyDescent="0.25">
      <c r="A41" t="s">
        <v>128</v>
      </c>
      <c r="B41" s="3">
        <v>2750</v>
      </c>
      <c r="C41" s="2" t="s">
        <v>340</v>
      </c>
      <c r="D41" s="3">
        <v>4471</v>
      </c>
      <c r="E41" s="3">
        <v>1721</v>
      </c>
      <c r="F41" s="1">
        <v>0.38</v>
      </c>
      <c r="G41" s="2" t="s">
        <v>337</v>
      </c>
      <c r="H41" s="4" t="s">
        <v>324</v>
      </c>
      <c r="I41" s="5" t="s">
        <v>324</v>
      </c>
      <c r="J41" s="2" t="s">
        <v>324</v>
      </c>
    </row>
    <row r="42" spans="1:10" x14ac:dyDescent="0.25">
      <c r="A42" t="s">
        <v>131</v>
      </c>
      <c r="B42" s="3">
        <v>475</v>
      </c>
      <c r="C42" s="2" t="s">
        <v>343</v>
      </c>
      <c r="D42" s="3">
        <v>931</v>
      </c>
      <c r="E42" s="3">
        <v>456</v>
      </c>
      <c r="F42" s="1">
        <v>0.49</v>
      </c>
      <c r="G42" s="2" t="s">
        <v>339</v>
      </c>
      <c r="H42" s="4" t="s">
        <v>324</v>
      </c>
      <c r="I42" s="5" t="s">
        <v>324</v>
      </c>
      <c r="J42" s="2" t="s">
        <v>324</v>
      </c>
    </row>
    <row r="43" spans="1:10" x14ac:dyDescent="0.25">
      <c r="A43" t="s">
        <v>134</v>
      </c>
      <c r="B43" s="3">
        <v>238</v>
      </c>
      <c r="C43" s="2" t="s">
        <v>343</v>
      </c>
      <c r="D43" s="3">
        <v>476</v>
      </c>
      <c r="E43" s="3">
        <v>238</v>
      </c>
      <c r="F43" s="1">
        <v>0.5</v>
      </c>
      <c r="G43" s="2" t="s">
        <v>339</v>
      </c>
      <c r="H43" s="4" t="s">
        <v>324</v>
      </c>
      <c r="I43" s="5" t="s">
        <v>324</v>
      </c>
      <c r="J43" s="2" t="s">
        <v>324</v>
      </c>
    </row>
    <row r="44" spans="1:10" x14ac:dyDescent="0.25">
      <c r="A44" t="s">
        <v>137</v>
      </c>
      <c r="B44" s="3">
        <v>610</v>
      </c>
      <c r="C44" s="2" t="s">
        <v>336</v>
      </c>
      <c r="D44" s="3">
        <v>1060</v>
      </c>
      <c r="E44" s="3">
        <v>450</v>
      </c>
      <c r="F44" s="1">
        <v>0.42</v>
      </c>
      <c r="G44" s="2" t="s">
        <v>339</v>
      </c>
      <c r="H44" s="4" t="s">
        <v>324</v>
      </c>
      <c r="I44" s="5" t="s">
        <v>324</v>
      </c>
      <c r="J44" s="2" t="s">
        <v>324</v>
      </c>
    </row>
    <row r="45" spans="1:10" x14ac:dyDescent="0.25">
      <c r="A45" t="s">
        <v>140</v>
      </c>
      <c r="B45" s="3">
        <v>2132</v>
      </c>
      <c r="C45" s="2" t="s">
        <v>340</v>
      </c>
      <c r="D45" s="3">
        <v>2169</v>
      </c>
      <c r="E45" s="3">
        <v>37</v>
      </c>
      <c r="F45" s="1">
        <v>0.02</v>
      </c>
      <c r="G45" s="2" t="s">
        <v>341</v>
      </c>
      <c r="H45" s="4" t="s">
        <v>324</v>
      </c>
      <c r="I45" s="5" t="s">
        <v>324</v>
      </c>
      <c r="J45" s="2" t="s">
        <v>324</v>
      </c>
    </row>
    <row r="46" spans="1:10" x14ac:dyDescent="0.25">
      <c r="A46" t="s">
        <v>143</v>
      </c>
      <c r="B46" s="3">
        <v>999</v>
      </c>
      <c r="C46" s="2" t="s">
        <v>336</v>
      </c>
      <c r="D46" s="3">
        <v>2000</v>
      </c>
      <c r="E46" s="3">
        <v>1001</v>
      </c>
      <c r="F46" s="1">
        <v>0.5</v>
      </c>
      <c r="G46" s="2" t="s">
        <v>339</v>
      </c>
      <c r="H46" s="4" t="s">
        <v>324</v>
      </c>
      <c r="I46" s="5" t="s">
        <v>324</v>
      </c>
      <c r="J46" s="2" t="s">
        <v>324</v>
      </c>
    </row>
    <row r="47" spans="1:10" x14ac:dyDescent="0.25">
      <c r="A47" t="s">
        <v>145</v>
      </c>
      <c r="B47" s="3">
        <v>1190</v>
      </c>
      <c r="C47" s="2" t="s">
        <v>336</v>
      </c>
      <c r="D47" s="3">
        <v>1785</v>
      </c>
      <c r="E47" s="3">
        <v>595</v>
      </c>
      <c r="F47" s="1">
        <v>0.33</v>
      </c>
      <c r="G47" s="2" t="s">
        <v>337</v>
      </c>
      <c r="H47" s="4" t="s">
        <v>324</v>
      </c>
      <c r="I47" s="5" t="s">
        <v>324</v>
      </c>
      <c r="J47" s="2" t="s">
        <v>324</v>
      </c>
    </row>
    <row r="48" spans="1:10" x14ac:dyDescent="0.25">
      <c r="A48" t="s">
        <v>148</v>
      </c>
      <c r="B48" s="3">
        <v>671</v>
      </c>
      <c r="C48" s="2" t="s">
        <v>336</v>
      </c>
      <c r="D48" s="3">
        <v>1316</v>
      </c>
      <c r="E48" s="3">
        <v>645</v>
      </c>
      <c r="F48" s="1">
        <v>0.49</v>
      </c>
      <c r="G48" s="2" t="s">
        <v>339</v>
      </c>
      <c r="H48" s="4" t="s">
        <v>324</v>
      </c>
      <c r="I48" s="5" t="s">
        <v>324</v>
      </c>
      <c r="J48" s="2" t="s">
        <v>324</v>
      </c>
    </row>
    <row r="49" spans="1:10" x14ac:dyDescent="0.25">
      <c r="A49" t="s">
        <v>151</v>
      </c>
      <c r="B49" s="3">
        <v>1200</v>
      </c>
      <c r="C49" s="2" t="s">
        <v>336</v>
      </c>
      <c r="D49" s="3">
        <v>1950</v>
      </c>
      <c r="E49" s="3">
        <v>750</v>
      </c>
      <c r="F49" s="1">
        <v>0.38</v>
      </c>
      <c r="G49" s="2" t="s">
        <v>337</v>
      </c>
      <c r="H49" s="4" t="s">
        <v>324</v>
      </c>
      <c r="I49" s="5" t="s">
        <v>324</v>
      </c>
      <c r="J49" s="2" t="s">
        <v>324</v>
      </c>
    </row>
    <row r="50" spans="1:10" x14ac:dyDescent="0.25">
      <c r="A50" t="s">
        <v>154</v>
      </c>
      <c r="B50" s="3">
        <v>199</v>
      </c>
      <c r="C50" s="2" t="s">
        <v>343</v>
      </c>
      <c r="D50" s="3">
        <v>504</v>
      </c>
      <c r="E50" s="3">
        <v>305</v>
      </c>
      <c r="F50" s="1">
        <v>0.61</v>
      </c>
      <c r="G50" s="2" t="s">
        <v>339</v>
      </c>
      <c r="H50" s="4" t="s">
        <v>324</v>
      </c>
      <c r="I50" s="5" t="s">
        <v>324</v>
      </c>
      <c r="J50" s="2" t="s">
        <v>324</v>
      </c>
    </row>
    <row r="51" spans="1:10" x14ac:dyDescent="0.25">
      <c r="A51" t="s">
        <v>157</v>
      </c>
      <c r="B51" s="3">
        <v>299</v>
      </c>
      <c r="C51" s="2" t="s">
        <v>343</v>
      </c>
      <c r="D51" s="3">
        <v>600</v>
      </c>
      <c r="E51" s="3">
        <v>301</v>
      </c>
      <c r="F51" s="1">
        <v>0.5</v>
      </c>
      <c r="G51" s="2" t="s">
        <v>339</v>
      </c>
      <c r="H51" s="4" t="s">
        <v>324</v>
      </c>
      <c r="I51" s="5" t="s">
        <v>324</v>
      </c>
      <c r="J51" s="2" t="s">
        <v>324</v>
      </c>
    </row>
    <row r="52" spans="1:10" x14ac:dyDescent="0.25">
      <c r="A52" t="s">
        <v>160</v>
      </c>
      <c r="B52" s="3">
        <v>1660</v>
      </c>
      <c r="C52" s="2" t="s">
        <v>336</v>
      </c>
      <c r="D52" s="3">
        <v>1699</v>
      </c>
      <c r="E52" s="3">
        <v>39</v>
      </c>
      <c r="F52" s="1">
        <v>0.02</v>
      </c>
      <c r="G52" s="2" t="s">
        <v>341</v>
      </c>
      <c r="H52" s="4" t="s">
        <v>324</v>
      </c>
      <c r="I52" s="5" t="s">
        <v>324</v>
      </c>
      <c r="J52" s="2" t="s">
        <v>324</v>
      </c>
    </row>
    <row r="53" spans="1:10" x14ac:dyDescent="0.25">
      <c r="A53" t="s">
        <v>163</v>
      </c>
      <c r="B53" s="3">
        <v>299</v>
      </c>
      <c r="C53" s="2" t="s">
        <v>343</v>
      </c>
      <c r="D53" s="3">
        <v>384</v>
      </c>
      <c r="E53" s="3">
        <v>85</v>
      </c>
      <c r="F53" s="1">
        <v>0.22</v>
      </c>
      <c r="G53" s="2" t="s">
        <v>337</v>
      </c>
      <c r="H53" s="4" t="s">
        <v>324</v>
      </c>
      <c r="I53" s="5" t="s">
        <v>324</v>
      </c>
      <c r="J53" s="2" t="s">
        <v>324</v>
      </c>
    </row>
    <row r="54" spans="1:10" x14ac:dyDescent="0.25">
      <c r="A54" t="s">
        <v>165</v>
      </c>
      <c r="B54" s="3">
        <v>1459</v>
      </c>
      <c r="C54" s="2" t="s">
        <v>336</v>
      </c>
      <c r="D54" s="3">
        <v>1499</v>
      </c>
      <c r="E54" s="3">
        <v>40</v>
      </c>
      <c r="F54" s="1">
        <v>0.03</v>
      </c>
      <c r="G54" s="2" t="s">
        <v>341</v>
      </c>
      <c r="H54" s="4" t="s">
        <v>324</v>
      </c>
      <c r="I54" s="5" t="s">
        <v>324</v>
      </c>
      <c r="J54" s="2" t="s">
        <v>324</v>
      </c>
    </row>
    <row r="55" spans="1:10" x14ac:dyDescent="0.25">
      <c r="A55" t="s">
        <v>168</v>
      </c>
      <c r="B55" s="3">
        <v>799</v>
      </c>
      <c r="C55" s="2" t="s">
        <v>336</v>
      </c>
      <c r="D55" s="3">
        <v>1343</v>
      </c>
      <c r="E55" s="3">
        <v>544</v>
      </c>
      <c r="F55" s="1">
        <v>0.41</v>
      </c>
      <c r="G55" s="2" t="s">
        <v>339</v>
      </c>
      <c r="H55" s="4" t="s">
        <v>324</v>
      </c>
      <c r="I55" s="5" t="s">
        <v>324</v>
      </c>
      <c r="J55" s="2" t="s">
        <v>324</v>
      </c>
    </row>
    <row r="56" spans="1:10" x14ac:dyDescent="0.25">
      <c r="A56" t="s">
        <v>170</v>
      </c>
      <c r="B56" s="3">
        <v>499</v>
      </c>
      <c r="C56" s="2" t="s">
        <v>336</v>
      </c>
      <c r="D56" s="3">
        <v>900</v>
      </c>
      <c r="E56" s="3">
        <v>401</v>
      </c>
      <c r="F56" s="1">
        <v>0.45</v>
      </c>
      <c r="G56" s="2" t="s">
        <v>339</v>
      </c>
      <c r="H56" s="4" t="s">
        <v>324</v>
      </c>
      <c r="I56" s="5" t="s">
        <v>324</v>
      </c>
      <c r="J56" s="2" t="s">
        <v>324</v>
      </c>
    </row>
    <row r="57" spans="1:10" x14ac:dyDescent="0.25">
      <c r="A57" t="s">
        <v>173</v>
      </c>
      <c r="B57" s="3">
        <v>699</v>
      </c>
      <c r="C57" s="2" t="s">
        <v>336</v>
      </c>
      <c r="D57" s="3">
        <v>1343</v>
      </c>
      <c r="E57" s="3">
        <v>644</v>
      </c>
      <c r="F57" s="1">
        <v>0.48</v>
      </c>
      <c r="G57" s="2" t="s">
        <v>339</v>
      </c>
      <c r="H57" s="4" t="s">
        <v>324</v>
      </c>
      <c r="I57" s="5" t="s">
        <v>324</v>
      </c>
      <c r="J57" s="2" t="s">
        <v>324</v>
      </c>
    </row>
    <row r="58" spans="1:10" x14ac:dyDescent="0.25">
      <c r="A58" t="s">
        <v>175</v>
      </c>
      <c r="B58" s="3">
        <v>799</v>
      </c>
      <c r="C58" s="2" t="s">
        <v>336</v>
      </c>
      <c r="D58" s="3">
        <v>1567</v>
      </c>
      <c r="E58" s="3">
        <v>768</v>
      </c>
      <c r="F58" s="1">
        <v>0.49</v>
      </c>
      <c r="G58" s="2" t="s">
        <v>339</v>
      </c>
      <c r="H58" s="4" t="s">
        <v>324</v>
      </c>
      <c r="I58" s="5" t="s">
        <v>324</v>
      </c>
      <c r="J58" s="2" t="s">
        <v>324</v>
      </c>
    </row>
    <row r="59" spans="1:10" x14ac:dyDescent="0.25">
      <c r="A59" t="s">
        <v>177</v>
      </c>
      <c r="B59" s="3">
        <v>2799</v>
      </c>
      <c r="C59" s="2" t="s">
        <v>340</v>
      </c>
      <c r="D59" s="3">
        <v>3810</v>
      </c>
      <c r="E59" s="3">
        <v>1011</v>
      </c>
      <c r="F59" s="1">
        <v>0.27</v>
      </c>
      <c r="G59" s="2" t="s">
        <v>337</v>
      </c>
      <c r="H59" s="4" t="s">
        <v>324</v>
      </c>
      <c r="I59" s="5" t="s">
        <v>324</v>
      </c>
      <c r="J59" s="2" t="s">
        <v>324</v>
      </c>
    </row>
    <row r="60" spans="1:10" x14ac:dyDescent="0.25">
      <c r="A60" t="s">
        <v>170</v>
      </c>
      <c r="B60" s="3">
        <v>399</v>
      </c>
      <c r="C60" s="2" t="s">
        <v>343</v>
      </c>
      <c r="D60" s="3">
        <v>896</v>
      </c>
      <c r="E60" s="3">
        <v>497</v>
      </c>
      <c r="F60" s="1">
        <v>0.55000000000000004</v>
      </c>
      <c r="G60" s="2" t="s">
        <v>339</v>
      </c>
      <c r="H60" s="4" t="s">
        <v>324</v>
      </c>
      <c r="I60" s="5" t="s">
        <v>324</v>
      </c>
      <c r="J60" s="2" t="s">
        <v>324</v>
      </c>
    </row>
    <row r="61" spans="1:10" x14ac:dyDescent="0.25">
      <c r="A61" t="s">
        <v>182</v>
      </c>
      <c r="B61" s="3">
        <v>2170</v>
      </c>
      <c r="C61" s="2" t="s">
        <v>340</v>
      </c>
      <c r="D61" s="3">
        <v>2500</v>
      </c>
      <c r="E61" s="3">
        <v>330</v>
      </c>
      <c r="F61" s="1">
        <v>0.13</v>
      </c>
      <c r="G61" s="2" t="s">
        <v>341</v>
      </c>
      <c r="H61" s="4">
        <v>6</v>
      </c>
      <c r="I61" s="5">
        <v>2.5</v>
      </c>
      <c r="J61" s="2" t="s">
        <v>344</v>
      </c>
    </row>
    <row r="62" spans="1:10" x14ac:dyDescent="0.25">
      <c r="A62" t="s">
        <v>186</v>
      </c>
      <c r="B62" s="3">
        <v>458</v>
      </c>
      <c r="C62" s="2" t="s">
        <v>343</v>
      </c>
      <c r="D62" s="3">
        <v>986</v>
      </c>
      <c r="E62" s="3">
        <v>528</v>
      </c>
      <c r="F62" s="1">
        <v>0.54</v>
      </c>
      <c r="G62" s="2" t="s">
        <v>339</v>
      </c>
      <c r="H62" s="4">
        <v>10</v>
      </c>
      <c r="I62" s="5">
        <v>3</v>
      </c>
      <c r="J62" s="2" t="s">
        <v>342</v>
      </c>
    </row>
    <row r="63" spans="1:10" x14ac:dyDescent="0.25">
      <c r="A63" t="s">
        <v>190</v>
      </c>
      <c r="B63" s="3">
        <v>2115</v>
      </c>
      <c r="C63" s="2" t="s">
        <v>340</v>
      </c>
      <c r="D63" s="3">
        <v>4700</v>
      </c>
      <c r="E63" s="3">
        <v>2585</v>
      </c>
      <c r="F63" s="1">
        <v>0.55000000000000004</v>
      </c>
      <c r="G63" s="2" t="s">
        <v>339</v>
      </c>
      <c r="H63" s="4">
        <v>13</v>
      </c>
      <c r="I63" s="5">
        <v>2.1</v>
      </c>
      <c r="J63" s="2" t="s">
        <v>344</v>
      </c>
    </row>
    <row r="64" spans="1:10" x14ac:dyDescent="0.25">
      <c r="A64" t="s">
        <v>194</v>
      </c>
      <c r="B64" s="3">
        <v>445</v>
      </c>
      <c r="C64" s="2" t="s">
        <v>343</v>
      </c>
      <c r="D64" s="3">
        <v>873</v>
      </c>
      <c r="E64" s="3">
        <v>428</v>
      </c>
      <c r="F64" s="1">
        <v>0.49</v>
      </c>
      <c r="G64" s="2" t="s">
        <v>339</v>
      </c>
      <c r="H64" s="4">
        <v>69</v>
      </c>
      <c r="I64" s="5">
        <v>2.8</v>
      </c>
      <c r="J64" s="2" t="s">
        <v>344</v>
      </c>
    </row>
    <row r="65" spans="1:10" x14ac:dyDescent="0.25">
      <c r="A65" t="s">
        <v>329</v>
      </c>
      <c r="B65" s="3">
        <v>325</v>
      </c>
      <c r="C65" s="2" t="s">
        <v>343</v>
      </c>
      <c r="D65" s="3">
        <v>680</v>
      </c>
      <c r="E65" s="3">
        <v>355</v>
      </c>
      <c r="F65" s="1">
        <v>0.52</v>
      </c>
      <c r="G65" s="2" t="s">
        <v>339</v>
      </c>
      <c r="H65" s="4">
        <v>15</v>
      </c>
      <c r="I65" s="5">
        <v>2.7</v>
      </c>
      <c r="J65" s="2" t="s">
        <v>344</v>
      </c>
    </row>
    <row r="66" spans="1:10" x14ac:dyDescent="0.25">
      <c r="A66" t="s">
        <v>202</v>
      </c>
      <c r="B66" s="3">
        <v>1220</v>
      </c>
      <c r="C66" s="2" t="s">
        <v>336</v>
      </c>
      <c r="D66" s="3">
        <v>1555</v>
      </c>
      <c r="E66" s="3">
        <v>335</v>
      </c>
      <c r="F66" s="1">
        <v>0.22</v>
      </c>
      <c r="G66" s="2" t="s">
        <v>337</v>
      </c>
      <c r="H66" s="4">
        <v>16</v>
      </c>
      <c r="I66" s="5">
        <v>2.9</v>
      </c>
      <c r="J66" s="2" t="s">
        <v>344</v>
      </c>
    </row>
    <row r="67" spans="1:10" x14ac:dyDescent="0.25">
      <c r="A67" t="s">
        <v>206</v>
      </c>
      <c r="B67" s="3">
        <v>990</v>
      </c>
      <c r="C67" s="2" t="s">
        <v>336</v>
      </c>
      <c r="D67" s="3">
        <v>1814</v>
      </c>
      <c r="E67" s="3">
        <v>824</v>
      </c>
      <c r="F67" s="1">
        <v>0.45</v>
      </c>
      <c r="G67" s="2" t="s">
        <v>339</v>
      </c>
      <c r="H67" s="4">
        <v>6</v>
      </c>
      <c r="I67" s="5">
        <v>2.2000000000000002</v>
      </c>
      <c r="J67" s="2" t="s">
        <v>344</v>
      </c>
    </row>
    <row r="68" spans="1:10" x14ac:dyDescent="0.25">
      <c r="A68" t="s">
        <v>209</v>
      </c>
      <c r="B68" s="3">
        <v>1000</v>
      </c>
      <c r="C68" s="2" t="s">
        <v>336</v>
      </c>
      <c r="D68" s="3">
        <v>2000</v>
      </c>
      <c r="E68" s="3">
        <v>1000</v>
      </c>
      <c r="F68" s="1">
        <v>0.5</v>
      </c>
      <c r="G68" s="2" t="s">
        <v>339</v>
      </c>
      <c r="H68" s="4">
        <v>7</v>
      </c>
      <c r="I68" s="5">
        <v>2.2999999999999998</v>
      </c>
      <c r="J68" s="2" t="s">
        <v>344</v>
      </c>
    </row>
    <row r="69" spans="1:10" x14ac:dyDescent="0.25">
      <c r="A69" t="s">
        <v>212</v>
      </c>
      <c r="B69" s="3">
        <v>3750</v>
      </c>
      <c r="C69" s="2" t="s">
        <v>340</v>
      </c>
      <c r="D69" s="3">
        <v>6143</v>
      </c>
      <c r="E69" s="3">
        <v>2393</v>
      </c>
      <c r="F69" s="1">
        <v>0.39</v>
      </c>
      <c r="G69" s="2" t="s">
        <v>337</v>
      </c>
      <c r="H69" s="4">
        <v>5</v>
      </c>
      <c r="I69" s="5">
        <v>3</v>
      </c>
      <c r="J69" s="2" t="s">
        <v>342</v>
      </c>
    </row>
    <row r="70" spans="1:10" x14ac:dyDescent="0.25">
      <c r="A70" t="s">
        <v>215</v>
      </c>
      <c r="B70" s="3">
        <v>382</v>
      </c>
      <c r="C70" s="2" t="s">
        <v>343</v>
      </c>
      <c r="D70" s="3">
        <v>700</v>
      </c>
      <c r="E70" s="3">
        <v>318</v>
      </c>
      <c r="F70" s="1">
        <v>0.45</v>
      </c>
      <c r="G70" s="2" t="s">
        <v>339</v>
      </c>
      <c r="H70" s="4">
        <v>17</v>
      </c>
      <c r="I70" s="5">
        <v>2.6</v>
      </c>
      <c r="J70" s="2" t="s">
        <v>344</v>
      </c>
    </row>
    <row r="71" spans="1:10" x14ac:dyDescent="0.25">
      <c r="A71" t="s">
        <v>218</v>
      </c>
      <c r="B71" s="3">
        <v>2300</v>
      </c>
      <c r="C71" s="2" t="s">
        <v>340</v>
      </c>
      <c r="D71" s="3">
        <v>3240</v>
      </c>
      <c r="E71" s="3">
        <v>940</v>
      </c>
      <c r="F71" s="1">
        <v>0.28999999999999998</v>
      </c>
      <c r="G71" s="2" t="s">
        <v>337</v>
      </c>
      <c r="H71" s="4">
        <v>5</v>
      </c>
      <c r="I71" s="5">
        <v>3</v>
      </c>
      <c r="J71" s="2" t="s">
        <v>342</v>
      </c>
    </row>
    <row r="72" spans="1:10" x14ac:dyDescent="0.25">
      <c r="A72" t="s">
        <v>221</v>
      </c>
      <c r="B72" s="3">
        <v>345</v>
      </c>
      <c r="C72" s="2" t="s">
        <v>343</v>
      </c>
      <c r="D72" s="3">
        <v>602</v>
      </c>
      <c r="E72" s="3">
        <v>257</v>
      </c>
      <c r="F72" s="1">
        <v>0.43</v>
      </c>
      <c r="G72" s="2" t="s">
        <v>339</v>
      </c>
      <c r="H72" s="4">
        <v>6</v>
      </c>
      <c r="I72" s="5">
        <v>2.2999999999999998</v>
      </c>
      <c r="J72" s="2" t="s">
        <v>344</v>
      </c>
    </row>
    <row r="73" spans="1:10" x14ac:dyDescent="0.25">
      <c r="A73" t="s">
        <v>224</v>
      </c>
      <c r="B73" s="3">
        <v>509</v>
      </c>
      <c r="C73" s="2" t="s">
        <v>336</v>
      </c>
      <c r="D73" s="3">
        <v>899</v>
      </c>
      <c r="E73" s="3">
        <v>390</v>
      </c>
      <c r="F73" s="1">
        <v>0.43</v>
      </c>
      <c r="G73" s="2" t="s">
        <v>339</v>
      </c>
      <c r="H73" s="4">
        <v>5</v>
      </c>
      <c r="I73" s="5">
        <v>3</v>
      </c>
      <c r="J73" s="2" t="s">
        <v>342</v>
      </c>
    </row>
    <row r="74" spans="1:10" x14ac:dyDescent="0.25">
      <c r="A74" t="s">
        <v>227</v>
      </c>
      <c r="B74" s="3">
        <v>968</v>
      </c>
      <c r="C74" s="2" t="s">
        <v>336</v>
      </c>
      <c r="D74" s="3">
        <v>1814</v>
      </c>
      <c r="E74" s="3">
        <v>846</v>
      </c>
      <c r="F74" s="1">
        <v>0.47</v>
      </c>
      <c r="G74" s="2" t="s">
        <v>339</v>
      </c>
      <c r="H74" s="4">
        <v>6</v>
      </c>
      <c r="I74" s="5">
        <v>2.2000000000000002</v>
      </c>
      <c r="J74" s="2" t="s">
        <v>344</v>
      </c>
    </row>
    <row r="75" spans="1:10" x14ac:dyDescent="0.25">
      <c r="A75" t="s">
        <v>229</v>
      </c>
      <c r="B75" s="3">
        <v>1570</v>
      </c>
      <c r="C75" s="2" t="s">
        <v>336</v>
      </c>
      <c r="D75" s="3">
        <v>2988</v>
      </c>
      <c r="E75" s="3">
        <v>1418</v>
      </c>
      <c r="F75" s="1">
        <v>0.47</v>
      </c>
      <c r="G75" s="2" t="s">
        <v>339</v>
      </c>
      <c r="H75" s="4">
        <v>7</v>
      </c>
      <c r="I75" s="5">
        <v>2.1</v>
      </c>
      <c r="J75" s="2" t="s">
        <v>344</v>
      </c>
    </row>
    <row r="76" spans="1:10" x14ac:dyDescent="0.25">
      <c r="A76" t="s">
        <v>232</v>
      </c>
      <c r="B76" s="3">
        <v>790</v>
      </c>
      <c r="C76" s="2" t="s">
        <v>336</v>
      </c>
      <c r="D76" s="3">
        <v>1485</v>
      </c>
      <c r="E76" s="3">
        <v>695</v>
      </c>
      <c r="F76" s="1">
        <v>0.47</v>
      </c>
      <c r="G76" s="2" t="s">
        <v>339</v>
      </c>
      <c r="H76" s="4" t="s">
        <v>324</v>
      </c>
      <c r="I76" s="5" t="s">
        <v>324</v>
      </c>
      <c r="J76" s="2" t="s">
        <v>324</v>
      </c>
    </row>
    <row r="77" spans="1:10" x14ac:dyDescent="0.25">
      <c r="A77" t="s">
        <v>235</v>
      </c>
      <c r="B77" s="3">
        <v>690</v>
      </c>
      <c r="C77" s="2" t="s">
        <v>336</v>
      </c>
      <c r="D77" s="3">
        <v>1200</v>
      </c>
      <c r="E77" s="3">
        <v>510</v>
      </c>
      <c r="F77" s="1">
        <v>0.43</v>
      </c>
      <c r="G77" s="2" t="s">
        <v>339</v>
      </c>
      <c r="H77" s="4" t="s">
        <v>324</v>
      </c>
      <c r="I77" s="5" t="s">
        <v>324</v>
      </c>
      <c r="J77" s="2" t="s">
        <v>324</v>
      </c>
    </row>
    <row r="78" spans="1:10" x14ac:dyDescent="0.25">
      <c r="A78" t="s">
        <v>237</v>
      </c>
      <c r="B78" s="3">
        <v>1732</v>
      </c>
      <c r="C78" s="2" t="s">
        <v>340</v>
      </c>
      <c r="D78" s="3">
        <v>1799</v>
      </c>
      <c r="E78" s="3">
        <v>67</v>
      </c>
      <c r="F78" s="1">
        <v>0.04</v>
      </c>
      <c r="G78" s="2" t="s">
        <v>341</v>
      </c>
      <c r="H78" s="4" t="s">
        <v>324</v>
      </c>
      <c r="I78" s="5" t="s">
        <v>324</v>
      </c>
      <c r="J78" s="2" t="s">
        <v>324</v>
      </c>
    </row>
    <row r="79" spans="1:10" x14ac:dyDescent="0.25">
      <c r="A79" t="s">
        <v>240</v>
      </c>
      <c r="B79" s="3">
        <v>230</v>
      </c>
      <c r="C79" s="2" t="s">
        <v>343</v>
      </c>
      <c r="D79" s="3">
        <v>450</v>
      </c>
      <c r="E79" s="3">
        <v>220</v>
      </c>
      <c r="F79" s="1">
        <v>0.49</v>
      </c>
      <c r="G79" s="2" t="s">
        <v>339</v>
      </c>
      <c r="H79" s="4" t="s">
        <v>324</v>
      </c>
      <c r="I79" s="5" t="s">
        <v>324</v>
      </c>
      <c r="J79" s="2" t="s">
        <v>324</v>
      </c>
    </row>
    <row r="80" spans="1:10" x14ac:dyDescent="0.25">
      <c r="A80" t="s">
        <v>243</v>
      </c>
      <c r="B80" s="3">
        <v>1189</v>
      </c>
      <c r="C80" s="2" t="s">
        <v>336</v>
      </c>
      <c r="D80" s="3">
        <v>2199</v>
      </c>
      <c r="E80" s="3">
        <v>1010</v>
      </c>
      <c r="F80" s="1">
        <v>0.46</v>
      </c>
      <c r="G80" s="2" t="s">
        <v>339</v>
      </c>
      <c r="H80" s="4">
        <v>1</v>
      </c>
      <c r="I80" s="5">
        <v>3</v>
      </c>
      <c r="J80" s="2" t="s">
        <v>342</v>
      </c>
    </row>
    <row r="81" spans="1:10" x14ac:dyDescent="0.25">
      <c r="A81" t="s">
        <v>245</v>
      </c>
      <c r="B81" s="3">
        <v>979</v>
      </c>
      <c r="C81" s="2" t="s">
        <v>336</v>
      </c>
      <c r="D81" s="3">
        <v>1920</v>
      </c>
      <c r="E81" s="3">
        <v>941</v>
      </c>
      <c r="F81" s="1">
        <v>0.49</v>
      </c>
      <c r="G81" s="2" t="s">
        <v>339</v>
      </c>
      <c r="H81" s="4">
        <v>1</v>
      </c>
      <c r="I81" s="5">
        <v>5</v>
      </c>
      <c r="J81" s="2" t="s">
        <v>338</v>
      </c>
    </row>
    <row r="82" spans="1:10" x14ac:dyDescent="0.25">
      <c r="A82" t="s">
        <v>248</v>
      </c>
      <c r="B82" s="3">
        <v>1460</v>
      </c>
      <c r="C82" s="2" t="s">
        <v>336</v>
      </c>
      <c r="D82" s="3">
        <v>2290</v>
      </c>
      <c r="E82" s="3">
        <v>830</v>
      </c>
      <c r="F82" s="1">
        <v>0.36</v>
      </c>
      <c r="G82" s="2" t="s">
        <v>337</v>
      </c>
      <c r="H82" s="4" t="s">
        <v>324</v>
      </c>
      <c r="I82" s="5" t="s">
        <v>324</v>
      </c>
      <c r="J82" s="2" t="s">
        <v>324</v>
      </c>
    </row>
    <row r="83" spans="1:10" x14ac:dyDescent="0.25">
      <c r="A83" t="s">
        <v>251</v>
      </c>
      <c r="B83" s="3">
        <v>1666</v>
      </c>
      <c r="C83" s="2" t="s">
        <v>336</v>
      </c>
      <c r="D83" s="3">
        <v>1699</v>
      </c>
      <c r="E83" s="3">
        <v>33</v>
      </c>
      <c r="F83" s="1">
        <v>0.02</v>
      </c>
      <c r="G83" s="2" t="s">
        <v>341</v>
      </c>
      <c r="H83" s="4" t="s">
        <v>324</v>
      </c>
      <c r="I83" s="5" t="s">
        <v>324</v>
      </c>
      <c r="J83" s="2" t="s">
        <v>324</v>
      </c>
    </row>
    <row r="84" spans="1:10" x14ac:dyDescent="0.25">
      <c r="A84" t="s">
        <v>253</v>
      </c>
      <c r="B84" s="3">
        <v>330</v>
      </c>
      <c r="C84" s="2" t="s">
        <v>343</v>
      </c>
      <c r="D84" s="3">
        <v>647</v>
      </c>
      <c r="E84" s="3">
        <v>317</v>
      </c>
      <c r="F84" s="1">
        <v>0.49</v>
      </c>
      <c r="G84" s="2" t="s">
        <v>339</v>
      </c>
      <c r="H84" s="4">
        <v>1</v>
      </c>
      <c r="I84" s="5">
        <v>4</v>
      </c>
      <c r="J84" s="2" t="s">
        <v>342</v>
      </c>
    </row>
    <row r="85" spans="1:10" x14ac:dyDescent="0.25">
      <c r="A85" t="s">
        <v>154</v>
      </c>
      <c r="B85" s="3">
        <v>176</v>
      </c>
      <c r="C85" s="2" t="s">
        <v>343</v>
      </c>
      <c r="D85" s="3">
        <v>345</v>
      </c>
      <c r="E85" s="3">
        <v>169</v>
      </c>
      <c r="F85" s="1">
        <v>0.49</v>
      </c>
      <c r="G85" s="2" t="s">
        <v>339</v>
      </c>
      <c r="H85" s="4" t="s">
        <v>324</v>
      </c>
      <c r="I85" s="5" t="s">
        <v>324</v>
      </c>
      <c r="J85" s="2" t="s">
        <v>324</v>
      </c>
    </row>
    <row r="86" spans="1:10" x14ac:dyDescent="0.25">
      <c r="A86" t="s">
        <v>256</v>
      </c>
      <c r="B86" s="3">
        <v>1466</v>
      </c>
      <c r="C86" s="2" t="s">
        <v>336</v>
      </c>
      <c r="D86" s="3">
        <v>1699</v>
      </c>
      <c r="E86" s="3">
        <v>233</v>
      </c>
      <c r="F86" s="1">
        <v>0.14000000000000001</v>
      </c>
      <c r="G86" s="2" t="s">
        <v>341</v>
      </c>
      <c r="H86" s="4" t="s">
        <v>324</v>
      </c>
      <c r="I86" s="5" t="s">
        <v>324</v>
      </c>
      <c r="J86" s="2" t="s">
        <v>324</v>
      </c>
    </row>
    <row r="87" spans="1:10" x14ac:dyDescent="0.25">
      <c r="A87" t="s">
        <v>258</v>
      </c>
      <c r="B87" s="3">
        <v>274</v>
      </c>
      <c r="C87" s="2" t="s">
        <v>343</v>
      </c>
      <c r="D87" s="3">
        <v>537</v>
      </c>
      <c r="E87" s="3">
        <v>263</v>
      </c>
      <c r="F87" s="1">
        <v>0.49</v>
      </c>
      <c r="G87" s="2" t="s">
        <v>339</v>
      </c>
      <c r="H87" s="4" t="s">
        <v>324</v>
      </c>
      <c r="I87" s="5" t="s">
        <v>324</v>
      </c>
      <c r="J87" s="2" t="s">
        <v>324</v>
      </c>
    </row>
    <row r="88" spans="1:10" x14ac:dyDescent="0.25">
      <c r="A88" t="s">
        <v>261</v>
      </c>
      <c r="B88" s="3">
        <v>799</v>
      </c>
      <c r="C88" s="2" t="s">
        <v>336</v>
      </c>
      <c r="D88" s="3">
        <v>900</v>
      </c>
      <c r="E88" s="3">
        <v>101</v>
      </c>
      <c r="F88" s="1">
        <v>0.11</v>
      </c>
      <c r="G88" s="2" t="s">
        <v>341</v>
      </c>
      <c r="H88" s="4" t="s">
        <v>324</v>
      </c>
      <c r="I88" s="5" t="s">
        <v>324</v>
      </c>
      <c r="J88" s="2" t="s">
        <v>324</v>
      </c>
    </row>
    <row r="89" spans="1:10" x14ac:dyDescent="0.25">
      <c r="A89" t="s">
        <v>175</v>
      </c>
      <c r="B89" s="3">
        <v>657</v>
      </c>
      <c r="C89" s="2" t="s">
        <v>336</v>
      </c>
      <c r="D89" s="3">
        <v>1288</v>
      </c>
      <c r="E89" s="3">
        <v>631</v>
      </c>
      <c r="F89" s="1">
        <v>0.49</v>
      </c>
      <c r="G89" s="2" t="s">
        <v>339</v>
      </c>
      <c r="H89" s="4" t="s">
        <v>324</v>
      </c>
      <c r="I89" s="5" t="s">
        <v>324</v>
      </c>
      <c r="J89" s="2" t="s">
        <v>324</v>
      </c>
    </row>
    <row r="90" spans="1:10" x14ac:dyDescent="0.25">
      <c r="A90" t="s">
        <v>264</v>
      </c>
      <c r="B90" s="3">
        <v>1468</v>
      </c>
      <c r="C90" s="2" t="s">
        <v>336</v>
      </c>
      <c r="D90" s="3">
        <v>1699</v>
      </c>
      <c r="E90" s="3">
        <v>231</v>
      </c>
      <c r="F90" s="1">
        <v>0.14000000000000001</v>
      </c>
      <c r="G90" s="2" t="s">
        <v>341</v>
      </c>
      <c r="H90" s="4" t="s">
        <v>324</v>
      </c>
      <c r="I90" s="5" t="s">
        <v>324</v>
      </c>
      <c r="J90" s="2" t="s">
        <v>324</v>
      </c>
    </row>
    <row r="91" spans="1:10" x14ac:dyDescent="0.25">
      <c r="A91" t="s">
        <v>266</v>
      </c>
      <c r="B91" s="3">
        <v>630</v>
      </c>
      <c r="C91" s="2" t="s">
        <v>336</v>
      </c>
      <c r="D91" s="3">
        <v>1100</v>
      </c>
      <c r="E91" s="3">
        <v>470</v>
      </c>
      <c r="F91" s="1">
        <v>0.43</v>
      </c>
      <c r="G91" s="2" t="s">
        <v>339</v>
      </c>
      <c r="H91" s="4" t="s">
        <v>324</v>
      </c>
      <c r="I91" s="5" t="s">
        <v>324</v>
      </c>
      <c r="J91" s="2" t="s">
        <v>324</v>
      </c>
    </row>
    <row r="92" spans="1:10" x14ac:dyDescent="0.25">
      <c r="A92" t="s">
        <v>269</v>
      </c>
      <c r="B92" s="3">
        <v>850</v>
      </c>
      <c r="C92" s="2" t="s">
        <v>336</v>
      </c>
      <c r="D92" s="3">
        <v>1700</v>
      </c>
      <c r="E92" s="3">
        <v>850</v>
      </c>
      <c r="F92" s="1">
        <v>0.5</v>
      </c>
      <c r="G92" s="2" t="s">
        <v>339</v>
      </c>
      <c r="H92" s="4" t="s">
        <v>324</v>
      </c>
      <c r="I92" s="5" t="s">
        <v>324</v>
      </c>
      <c r="J92" s="2" t="s">
        <v>324</v>
      </c>
    </row>
    <row r="93" spans="1:10" x14ac:dyDescent="0.25">
      <c r="A93" t="s">
        <v>272</v>
      </c>
      <c r="B93" s="3">
        <v>1300</v>
      </c>
      <c r="C93" s="2" t="s">
        <v>336</v>
      </c>
      <c r="D93" s="3">
        <v>2500</v>
      </c>
      <c r="E93" s="3">
        <v>1200</v>
      </c>
      <c r="F93" s="1">
        <v>0.48</v>
      </c>
      <c r="G93" s="2" t="s">
        <v>339</v>
      </c>
      <c r="H93" s="4" t="s">
        <v>324</v>
      </c>
      <c r="I93" s="5" t="s">
        <v>324</v>
      </c>
      <c r="J93" s="2" t="s">
        <v>324</v>
      </c>
    </row>
    <row r="94" spans="1:10" x14ac:dyDescent="0.25">
      <c r="A94" t="s">
        <v>274</v>
      </c>
      <c r="B94" s="3">
        <v>105</v>
      </c>
      <c r="C94" s="2" t="s">
        <v>343</v>
      </c>
      <c r="D94" s="3">
        <v>200</v>
      </c>
      <c r="E94" s="3">
        <v>95</v>
      </c>
      <c r="F94" s="1">
        <v>0.48</v>
      </c>
      <c r="G94" s="2" t="s">
        <v>339</v>
      </c>
      <c r="H94" s="4" t="s">
        <v>324</v>
      </c>
      <c r="I94" s="5" t="s">
        <v>324</v>
      </c>
      <c r="J94" s="2" t="s">
        <v>324</v>
      </c>
    </row>
    <row r="95" spans="1:10" x14ac:dyDescent="0.25">
      <c r="A95" t="s">
        <v>277</v>
      </c>
      <c r="B95" s="3">
        <v>899</v>
      </c>
      <c r="C95" s="2" t="s">
        <v>336</v>
      </c>
      <c r="D95" s="3">
        <v>1699</v>
      </c>
      <c r="E95" s="3">
        <v>800</v>
      </c>
      <c r="F95" s="1">
        <v>0.47</v>
      </c>
      <c r="G95" s="2" t="s">
        <v>339</v>
      </c>
      <c r="H95" s="4" t="s">
        <v>324</v>
      </c>
      <c r="I95" s="5" t="s">
        <v>324</v>
      </c>
      <c r="J95" s="2" t="s">
        <v>324</v>
      </c>
    </row>
    <row r="96" spans="1:10" x14ac:dyDescent="0.25">
      <c r="A96" t="s">
        <v>278</v>
      </c>
      <c r="B96" s="3">
        <v>1200</v>
      </c>
      <c r="C96" s="2" t="s">
        <v>336</v>
      </c>
      <c r="D96" s="3">
        <v>2400</v>
      </c>
      <c r="E96" s="3">
        <v>1200</v>
      </c>
      <c r="F96" s="1">
        <v>0.5</v>
      </c>
      <c r="G96" s="2" t="s">
        <v>339</v>
      </c>
      <c r="H96" s="4" t="s">
        <v>324</v>
      </c>
      <c r="I96" s="5" t="s">
        <v>324</v>
      </c>
      <c r="J96" s="2" t="s">
        <v>324</v>
      </c>
    </row>
    <row r="97" spans="1:10" x14ac:dyDescent="0.25">
      <c r="A97" t="s">
        <v>280</v>
      </c>
      <c r="B97" s="3">
        <v>1526</v>
      </c>
      <c r="C97" s="2" t="s">
        <v>336</v>
      </c>
      <c r="D97" s="3">
        <v>1660</v>
      </c>
      <c r="E97" s="3">
        <v>134</v>
      </c>
      <c r="F97" s="1">
        <v>0.08</v>
      </c>
      <c r="G97" s="2" t="s">
        <v>341</v>
      </c>
      <c r="H97" s="4" t="s">
        <v>324</v>
      </c>
      <c r="I97" s="5" t="s">
        <v>324</v>
      </c>
      <c r="J97" s="2" t="s">
        <v>324</v>
      </c>
    </row>
    <row r="98" spans="1:10" x14ac:dyDescent="0.25">
      <c r="A98" t="s">
        <v>282</v>
      </c>
      <c r="B98" s="3">
        <v>1462</v>
      </c>
      <c r="C98" s="2" t="s">
        <v>336</v>
      </c>
      <c r="D98" s="3">
        <v>1499</v>
      </c>
      <c r="E98" s="3">
        <v>37</v>
      </c>
      <c r="F98" s="1">
        <v>0.02</v>
      </c>
      <c r="G98" s="2" t="s">
        <v>341</v>
      </c>
      <c r="H98" s="4" t="s">
        <v>324</v>
      </c>
      <c r="I98" s="5" t="s">
        <v>324</v>
      </c>
      <c r="J98" s="2" t="s">
        <v>324</v>
      </c>
    </row>
    <row r="99" spans="1:10" x14ac:dyDescent="0.25">
      <c r="A99" t="s">
        <v>284</v>
      </c>
      <c r="B99" s="3">
        <v>248</v>
      </c>
      <c r="C99" s="2" t="s">
        <v>343</v>
      </c>
      <c r="D99" s="3">
        <v>486</v>
      </c>
      <c r="E99" s="3">
        <v>238</v>
      </c>
      <c r="F99" s="1">
        <v>0.49</v>
      </c>
      <c r="G99" s="2" t="s">
        <v>339</v>
      </c>
      <c r="H99" s="4" t="s">
        <v>324</v>
      </c>
      <c r="I99" s="5" t="s">
        <v>324</v>
      </c>
      <c r="J99" s="2" t="s">
        <v>324</v>
      </c>
    </row>
    <row r="100" spans="1:10" x14ac:dyDescent="0.25">
      <c r="A100" t="s">
        <v>287</v>
      </c>
      <c r="B100" s="3">
        <v>3546</v>
      </c>
      <c r="C100" s="2" t="s">
        <v>340</v>
      </c>
      <c r="D100" s="3">
        <v>3699</v>
      </c>
      <c r="E100" s="3">
        <v>153</v>
      </c>
      <c r="F100" s="1">
        <v>0.04</v>
      </c>
      <c r="G100" s="2" t="s">
        <v>341</v>
      </c>
      <c r="H100" s="4" t="s">
        <v>324</v>
      </c>
      <c r="I100" s="5" t="s">
        <v>324</v>
      </c>
      <c r="J100" s="2" t="s">
        <v>324</v>
      </c>
    </row>
    <row r="101" spans="1:10" x14ac:dyDescent="0.25">
      <c r="A101" t="s">
        <v>289</v>
      </c>
      <c r="B101" s="3">
        <v>525</v>
      </c>
      <c r="C101" s="2" t="s">
        <v>336</v>
      </c>
      <c r="D101" s="3">
        <v>1029</v>
      </c>
      <c r="E101" s="3">
        <v>504</v>
      </c>
      <c r="F101" s="1">
        <v>0.49</v>
      </c>
      <c r="G101" s="2" t="s">
        <v>339</v>
      </c>
      <c r="H101" s="4" t="s">
        <v>324</v>
      </c>
      <c r="I101" s="5" t="s">
        <v>324</v>
      </c>
      <c r="J101" s="2" t="s">
        <v>324</v>
      </c>
    </row>
    <row r="102" spans="1:10" x14ac:dyDescent="0.25">
      <c r="A102" t="s">
        <v>292</v>
      </c>
      <c r="B102" s="3">
        <v>1080</v>
      </c>
      <c r="C102" s="2" t="s">
        <v>336</v>
      </c>
      <c r="D102" s="3">
        <v>1874</v>
      </c>
      <c r="E102" s="3">
        <v>794</v>
      </c>
      <c r="F102" s="1">
        <v>0.42</v>
      </c>
      <c r="G102" s="2" t="s">
        <v>339</v>
      </c>
      <c r="H102" s="4" t="s">
        <v>324</v>
      </c>
      <c r="I102" s="5" t="s">
        <v>324</v>
      </c>
      <c r="J102" s="2" t="s">
        <v>324</v>
      </c>
    </row>
    <row r="103" spans="1:10" x14ac:dyDescent="0.25">
      <c r="A103" t="s">
        <v>295</v>
      </c>
      <c r="B103" s="3">
        <v>3640</v>
      </c>
      <c r="C103" s="2" t="s">
        <v>340</v>
      </c>
      <c r="D103" s="3">
        <v>4588</v>
      </c>
      <c r="E103" s="3">
        <v>948</v>
      </c>
      <c r="F103" s="1">
        <v>0.21</v>
      </c>
      <c r="G103" s="2" t="s">
        <v>337</v>
      </c>
      <c r="H103" s="4">
        <v>1</v>
      </c>
      <c r="I103" s="5">
        <v>5</v>
      </c>
      <c r="J103" s="2" t="s">
        <v>338</v>
      </c>
    </row>
    <row r="104" spans="1:10" x14ac:dyDescent="0.25">
      <c r="A104" t="s">
        <v>298</v>
      </c>
      <c r="B104" s="3">
        <v>1420</v>
      </c>
      <c r="C104" s="2" t="s">
        <v>336</v>
      </c>
      <c r="D104" s="3">
        <v>2420</v>
      </c>
      <c r="E104" s="3">
        <v>1000</v>
      </c>
      <c r="F104" s="1">
        <v>0.41</v>
      </c>
      <c r="G104" s="2" t="s">
        <v>339</v>
      </c>
      <c r="H104" s="4" t="s">
        <v>324</v>
      </c>
      <c r="I104" s="5" t="s">
        <v>324</v>
      </c>
      <c r="J104" s="2" t="s">
        <v>324</v>
      </c>
    </row>
    <row r="105" spans="1:10" x14ac:dyDescent="0.25">
      <c r="A105" t="s">
        <v>301</v>
      </c>
      <c r="B105" s="3">
        <v>1875</v>
      </c>
      <c r="C105" s="2" t="s">
        <v>340</v>
      </c>
      <c r="D105" s="3">
        <v>1899</v>
      </c>
      <c r="E105" s="3">
        <v>24</v>
      </c>
      <c r="F105" s="1">
        <v>0.01</v>
      </c>
      <c r="G105" s="2" t="s">
        <v>341</v>
      </c>
      <c r="H105" s="4" t="s">
        <v>324</v>
      </c>
      <c r="I105" s="5" t="s">
        <v>324</v>
      </c>
      <c r="J105" s="2" t="s">
        <v>324</v>
      </c>
    </row>
    <row r="106" spans="1:10" x14ac:dyDescent="0.25">
      <c r="A106" t="s">
        <v>304</v>
      </c>
      <c r="B106" s="3">
        <v>198</v>
      </c>
      <c r="C106" s="2" t="s">
        <v>343</v>
      </c>
      <c r="D106" s="3">
        <v>260</v>
      </c>
      <c r="E106" s="3">
        <v>62</v>
      </c>
      <c r="F106" s="1">
        <v>0.24</v>
      </c>
      <c r="G106" s="2" t="s">
        <v>337</v>
      </c>
      <c r="H106" s="4" t="s">
        <v>324</v>
      </c>
      <c r="I106" s="5" t="s">
        <v>324</v>
      </c>
      <c r="J106" s="2" t="s">
        <v>324</v>
      </c>
    </row>
    <row r="107" spans="1:10" x14ac:dyDescent="0.25">
      <c r="A107" t="s">
        <v>307</v>
      </c>
      <c r="B107" s="3">
        <v>1150</v>
      </c>
      <c r="C107" s="2" t="s">
        <v>336</v>
      </c>
      <c r="D107" s="3">
        <v>1737</v>
      </c>
      <c r="E107" s="3">
        <v>587</v>
      </c>
      <c r="F107" s="1">
        <v>0.34</v>
      </c>
      <c r="G107" s="2" t="s">
        <v>337</v>
      </c>
      <c r="H107" s="4" t="s">
        <v>324</v>
      </c>
      <c r="I107" s="5" t="s">
        <v>324</v>
      </c>
      <c r="J107" s="2" t="s">
        <v>324</v>
      </c>
    </row>
    <row r="108" spans="1:10" x14ac:dyDescent="0.25">
      <c r="A108" t="s">
        <v>310</v>
      </c>
      <c r="B108" s="3">
        <v>1190</v>
      </c>
      <c r="C108" s="2" t="s">
        <v>336</v>
      </c>
      <c r="D108" s="3">
        <v>1810</v>
      </c>
      <c r="E108" s="3">
        <v>620</v>
      </c>
      <c r="F108" s="1">
        <v>0.34</v>
      </c>
      <c r="G108" s="2" t="s">
        <v>337</v>
      </c>
      <c r="H108" s="4" t="s">
        <v>324</v>
      </c>
      <c r="I108" s="5" t="s">
        <v>324</v>
      </c>
      <c r="J108" s="2" t="s">
        <v>324</v>
      </c>
    </row>
    <row r="109" spans="1:10" x14ac:dyDescent="0.25">
      <c r="A109" t="s">
        <v>312</v>
      </c>
      <c r="B109" s="3">
        <v>1658</v>
      </c>
      <c r="C109" s="2" t="s">
        <v>336</v>
      </c>
      <c r="D109" s="3">
        <v>1699</v>
      </c>
      <c r="E109" s="3">
        <v>41</v>
      </c>
      <c r="F109" s="1">
        <v>0.02</v>
      </c>
      <c r="G109" s="2" t="s">
        <v>341</v>
      </c>
      <c r="H109" s="4" t="s">
        <v>324</v>
      </c>
      <c r="I109" s="5" t="s">
        <v>324</v>
      </c>
      <c r="J109" s="2" t="s">
        <v>324</v>
      </c>
    </row>
    <row r="110" spans="1:10" x14ac:dyDescent="0.25">
      <c r="A110" t="s">
        <v>314</v>
      </c>
      <c r="B110" s="3">
        <v>1768</v>
      </c>
      <c r="C110" s="2" t="s">
        <v>340</v>
      </c>
      <c r="D110" s="3">
        <v>1799</v>
      </c>
      <c r="E110" s="3">
        <v>31</v>
      </c>
      <c r="F110" s="1">
        <v>0.02</v>
      </c>
      <c r="G110" s="2" t="s">
        <v>341</v>
      </c>
      <c r="H110" s="4" t="s">
        <v>324</v>
      </c>
      <c r="I110" s="5" t="s">
        <v>324</v>
      </c>
      <c r="J110" s="2" t="s">
        <v>324</v>
      </c>
    </row>
    <row r="111" spans="1:10" x14ac:dyDescent="0.25">
      <c r="A111" t="s">
        <v>316</v>
      </c>
      <c r="B111" s="3">
        <v>199</v>
      </c>
      <c r="C111" s="2" t="s">
        <v>343</v>
      </c>
      <c r="D111" s="3">
        <v>553</v>
      </c>
      <c r="E111" s="3">
        <v>354</v>
      </c>
      <c r="F111" s="1">
        <v>0.64</v>
      </c>
      <c r="G111" s="2" t="s">
        <v>339</v>
      </c>
      <c r="H111" s="4" t="s">
        <v>324</v>
      </c>
      <c r="I111" s="5" t="s">
        <v>324</v>
      </c>
      <c r="J111" s="2" t="s">
        <v>324</v>
      </c>
    </row>
    <row r="112" spans="1:10" x14ac:dyDescent="0.25">
      <c r="A112" t="s">
        <v>318</v>
      </c>
      <c r="B112" s="3">
        <v>450</v>
      </c>
      <c r="C112" s="2" t="s">
        <v>343</v>
      </c>
      <c r="D112" s="3">
        <v>900</v>
      </c>
      <c r="E112" s="3">
        <v>450</v>
      </c>
      <c r="F112" s="1">
        <v>0.5</v>
      </c>
      <c r="G112" s="2" t="s">
        <v>339</v>
      </c>
      <c r="H112" s="4">
        <v>1</v>
      </c>
      <c r="I112" s="5">
        <v>2</v>
      </c>
      <c r="J112" s="2" t="s">
        <v>344</v>
      </c>
    </row>
    <row r="113" spans="1:11" x14ac:dyDescent="0.25">
      <c r="A113" t="s">
        <v>320</v>
      </c>
      <c r="B113" s="3">
        <v>169</v>
      </c>
      <c r="C113" s="2" t="s">
        <v>343</v>
      </c>
      <c r="D113" s="3">
        <v>320</v>
      </c>
      <c r="E113" s="3">
        <v>151</v>
      </c>
      <c r="F113" s="1">
        <v>0.47</v>
      </c>
      <c r="G113" s="2" t="s">
        <v>339</v>
      </c>
      <c r="H113" s="4" t="s">
        <v>324</v>
      </c>
      <c r="I113" s="5" t="s">
        <v>324</v>
      </c>
      <c r="J113" s="2" t="s">
        <v>324</v>
      </c>
    </row>
    <row r="114" spans="1:11" x14ac:dyDescent="0.25">
      <c r="K114" s="6">
        <f>CORREL(F2:F113,H2:H113)</f>
        <v>-0.13682272428088296</v>
      </c>
    </row>
    <row r="115" spans="1:11" x14ac:dyDescent="0.25">
      <c r="K115" s="6">
        <f>CORREL(I2:I113,H2:H113)</f>
        <v>5.7209035119876482E-2</v>
      </c>
    </row>
    <row r="116" spans="1:11" x14ac:dyDescent="0.25">
      <c r="K116" s="6">
        <f>CORREL(B2:B113,I2:I113)</f>
        <v>0.11009021272510708</v>
      </c>
    </row>
  </sheetData>
  <autoFilter ref="A1:J113" xr:uid="{0444115D-15A4-4FA9-B7C1-D9BCE45521D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8F175-50CE-4043-863E-B3962E97C01B}">
  <dimension ref="A3:B56"/>
  <sheetViews>
    <sheetView topLeftCell="A23" workbookViewId="0">
      <selection activeCell="C40" sqref="C40"/>
    </sheetView>
  </sheetViews>
  <sheetFormatPr defaultRowHeight="15" x14ac:dyDescent="0.25"/>
  <cols>
    <col min="1" max="1" width="69.85546875" bestFit="1" customWidth="1"/>
    <col min="2" max="2" width="16.7109375" bestFit="1" customWidth="1"/>
  </cols>
  <sheetData>
    <row r="3" spans="1:2" x14ac:dyDescent="0.25">
      <c r="A3" s="16" t="s">
        <v>345</v>
      </c>
      <c r="B3" t="s">
        <v>352</v>
      </c>
    </row>
    <row r="4" spans="1:2" x14ac:dyDescent="0.25">
      <c r="A4" s="17" t="s">
        <v>47</v>
      </c>
      <c r="B4" s="6">
        <v>4.8</v>
      </c>
    </row>
    <row r="5" spans="1:2" x14ac:dyDescent="0.25">
      <c r="A5" s="17" t="s">
        <v>326</v>
      </c>
      <c r="B5" s="6">
        <v>5</v>
      </c>
    </row>
    <row r="6" spans="1:2" x14ac:dyDescent="0.25">
      <c r="A6" s="17" t="s">
        <v>245</v>
      </c>
      <c r="B6" s="6">
        <v>5</v>
      </c>
    </row>
    <row r="7" spans="1:2" x14ac:dyDescent="0.25">
      <c r="A7" s="17" t="s">
        <v>120</v>
      </c>
      <c r="B7" s="6">
        <v>5</v>
      </c>
    </row>
    <row r="8" spans="1:2" x14ac:dyDescent="0.25">
      <c r="A8" s="17" t="s">
        <v>117</v>
      </c>
      <c r="B8" s="6">
        <v>5</v>
      </c>
    </row>
    <row r="9" spans="1:2" x14ac:dyDescent="0.25">
      <c r="A9" s="17" t="s">
        <v>295</v>
      </c>
      <c r="B9" s="6">
        <v>5</v>
      </c>
    </row>
    <row r="10" spans="1:2" x14ac:dyDescent="0.25">
      <c r="A10" s="17" t="s">
        <v>63</v>
      </c>
      <c r="B10" s="6">
        <v>5</v>
      </c>
    </row>
    <row r="11" spans="1:2" x14ac:dyDescent="0.25">
      <c r="A11" s="17" t="s">
        <v>35</v>
      </c>
      <c r="B11" s="6">
        <v>4.8</v>
      </c>
    </row>
    <row r="12" spans="1:2" x14ac:dyDescent="0.25">
      <c r="A12" s="17" t="s">
        <v>327</v>
      </c>
      <c r="B12" s="6">
        <v>5</v>
      </c>
    </row>
    <row r="13" spans="1:2" x14ac:dyDescent="0.25">
      <c r="A13" s="17" t="s">
        <v>22</v>
      </c>
      <c r="B13" s="6">
        <v>4.8</v>
      </c>
    </row>
    <row r="14" spans="1:2" x14ac:dyDescent="0.25">
      <c r="A14" s="17" t="s">
        <v>346</v>
      </c>
      <c r="B14" s="6">
        <v>4.9399999999999995</v>
      </c>
    </row>
    <row r="24" spans="1:2" x14ac:dyDescent="0.25">
      <c r="A24" s="16" t="s">
        <v>345</v>
      </c>
      <c r="B24" t="s">
        <v>353</v>
      </c>
    </row>
    <row r="25" spans="1:2" x14ac:dyDescent="0.25">
      <c r="A25" s="17" t="s">
        <v>44</v>
      </c>
      <c r="B25" s="6">
        <v>39</v>
      </c>
    </row>
    <row r="26" spans="1:2" x14ac:dyDescent="0.25">
      <c r="A26" s="17" t="s">
        <v>194</v>
      </c>
      <c r="B26" s="6">
        <v>69</v>
      </c>
    </row>
    <row r="27" spans="1:2" x14ac:dyDescent="0.25">
      <c r="A27" s="17" t="s">
        <v>30</v>
      </c>
      <c r="B27" s="6">
        <v>55</v>
      </c>
    </row>
    <row r="28" spans="1:2" x14ac:dyDescent="0.25">
      <c r="A28" s="17" t="s">
        <v>68</v>
      </c>
      <c r="B28" s="6">
        <v>44</v>
      </c>
    </row>
    <row r="29" spans="1:2" x14ac:dyDescent="0.25">
      <c r="A29" s="17" t="s">
        <v>97</v>
      </c>
      <c r="B29" s="6">
        <v>20</v>
      </c>
    </row>
    <row r="30" spans="1:2" x14ac:dyDescent="0.25">
      <c r="A30" s="17" t="s">
        <v>114</v>
      </c>
      <c r="B30" s="6">
        <v>32</v>
      </c>
    </row>
    <row r="31" spans="1:2" x14ac:dyDescent="0.25">
      <c r="A31" s="17" t="s">
        <v>111</v>
      </c>
      <c r="B31" s="6">
        <v>20</v>
      </c>
    </row>
    <row r="32" spans="1:2" x14ac:dyDescent="0.25">
      <c r="A32" s="17" t="s">
        <v>89</v>
      </c>
      <c r="B32" s="6">
        <v>49</v>
      </c>
    </row>
    <row r="33" spans="1:2" x14ac:dyDescent="0.25">
      <c r="A33" s="17" t="s">
        <v>14</v>
      </c>
      <c r="B33" s="6">
        <v>24</v>
      </c>
    </row>
    <row r="34" spans="1:2" x14ac:dyDescent="0.25">
      <c r="A34" s="17" t="s">
        <v>122</v>
      </c>
      <c r="B34" s="6">
        <v>36</v>
      </c>
    </row>
    <row r="35" spans="1:2" x14ac:dyDescent="0.25">
      <c r="A35" s="17" t="s">
        <v>346</v>
      </c>
      <c r="B35" s="6">
        <v>388</v>
      </c>
    </row>
    <row r="45" spans="1:2" x14ac:dyDescent="0.25">
      <c r="A45" s="16" t="s">
        <v>345</v>
      </c>
      <c r="B45" t="s">
        <v>354</v>
      </c>
    </row>
    <row r="46" spans="1:2" x14ac:dyDescent="0.25">
      <c r="A46" s="17" t="s">
        <v>71</v>
      </c>
      <c r="B46" s="1">
        <v>0.53</v>
      </c>
    </row>
    <row r="47" spans="1:2" x14ac:dyDescent="0.25">
      <c r="A47" s="17" t="s">
        <v>190</v>
      </c>
      <c r="B47" s="1">
        <v>0.55000000000000004</v>
      </c>
    </row>
    <row r="48" spans="1:2" x14ac:dyDescent="0.25">
      <c r="A48" s="17" t="s">
        <v>316</v>
      </c>
      <c r="B48" s="1">
        <v>0.64</v>
      </c>
    </row>
    <row r="49" spans="1:2" x14ac:dyDescent="0.25">
      <c r="A49" s="17" t="s">
        <v>120</v>
      </c>
      <c r="B49" s="1">
        <v>0.53</v>
      </c>
    </row>
    <row r="50" spans="1:2" x14ac:dyDescent="0.25">
      <c r="A50" s="17" t="s">
        <v>154</v>
      </c>
      <c r="B50" s="1">
        <v>0.55000000000000004</v>
      </c>
    </row>
    <row r="51" spans="1:2" x14ac:dyDescent="0.25">
      <c r="A51" s="17" t="s">
        <v>102</v>
      </c>
      <c r="B51" s="1">
        <v>0.52</v>
      </c>
    </row>
    <row r="52" spans="1:2" x14ac:dyDescent="0.25">
      <c r="A52" s="17" t="s">
        <v>329</v>
      </c>
      <c r="B52" s="1">
        <v>0.52</v>
      </c>
    </row>
    <row r="53" spans="1:2" x14ac:dyDescent="0.25">
      <c r="A53" s="17" t="s">
        <v>85</v>
      </c>
      <c r="B53" s="1">
        <v>0.54</v>
      </c>
    </row>
    <row r="54" spans="1:2" x14ac:dyDescent="0.25">
      <c r="A54" s="17" t="s">
        <v>35</v>
      </c>
      <c r="B54" s="1">
        <v>0.55000000000000004</v>
      </c>
    </row>
    <row r="55" spans="1:2" x14ac:dyDescent="0.25">
      <c r="A55" s="17" t="s">
        <v>186</v>
      </c>
      <c r="B55" s="1">
        <v>0.54</v>
      </c>
    </row>
    <row r="56" spans="1:2" x14ac:dyDescent="0.25">
      <c r="A56" s="17" t="s">
        <v>346</v>
      </c>
      <c r="B56" s="1">
        <v>0.54727272727272724</v>
      </c>
    </row>
  </sheetData>
  <pageMargins left="0.7" right="0.7" top="0.75" bottom="0.75" header="0.3" footer="0.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280BB-BA50-4547-8D77-4F03AAEBFDE2}">
  <sheetPr filterMode="1"/>
  <dimension ref="A1:K113"/>
  <sheetViews>
    <sheetView zoomScale="76" zoomScaleNormal="80" workbookViewId="0">
      <pane ySplit="1" topLeftCell="A2" activePane="bottomLeft" state="frozen"/>
      <selection pane="bottomLeft" activeCell="A124" sqref="A124"/>
    </sheetView>
  </sheetViews>
  <sheetFormatPr defaultRowHeight="15" x14ac:dyDescent="0.25"/>
  <cols>
    <col min="1" max="1" width="95.7109375" bestFit="1" customWidth="1"/>
    <col min="2" max="2" width="12.5703125" style="3" bestFit="1" customWidth="1"/>
    <col min="3" max="3" width="13.85546875" style="2" bestFit="1" customWidth="1"/>
    <col min="4" max="4" width="12.28515625" style="3" bestFit="1" customWidth="1"/>
    <col min="5" max="5" width="16.42578125" style="3" bestFit="1" customWidth="1"/>
    <col min="6" max="6" width="11" style="1" bestFit="1" customWidth="1"/>
    <col min="7" max="7" width="17.28515625" style="2" bestFit="1" customWidth="1"/>
    <col min="8" max="8" width="11.85546875" style="4" customWidth="1"/>
    <col min="9" max="9" width="10.28515625" style="5" bestFit="1" customWidth="1"/>
    <col min="10" max="10" width="19.28515625" style="2" bestFit="1" customWidth="1"/>
    <col min="11" max="11" width="20.140625" bestFit="1" customWidth="1"/>
  </cols>
  <sheetData>
    <row r="1" spans="1:11" x14ac:dyDescent="0.25">
      <c r="A1" t="s">
        <v>0</v>
      </c>
      <c r="B1" s="3" t="s">
        <v>1</v>
      </c>
      <c r="C1" s="2" t="s">
        <v>335</v>
      </c>
      <c r="D1" s="3" t="s">
        <v>331</v>
      </c>
      <c r="E1" s="3" t="s">
        <v>332</v>
      </c>
      <c r="F1" s="1" t="s">
        <v>3</v>
      </c>
      <c r="G1" s="2" t="s">
        <v>334</v>
      </c>
      <c r="H1" s="4" t="s">
        <v>4</v>
      </c>
      <c r="I1" s="5" t="s">
        <v>323</v>
      </c>
      <c r="J1" s="2" t="s">
        <v>333</v>
      </c>
      <c r="K1" t="s">
        <v>347</v>
      </c>
    </row>
    <row r="2" spans="1:11" hidden="1" x14ac:dyDescent="0.25">
      <c r="A2" t="s">
        <v>325</v>
      </c>
      <c r="B2" s="3">
        <v>950</v>
      </c>
      <c r="C2" s="2" t="s">
        <v>336</v>
      </c>
      <c r="D2" s="3">
        <v>1525</v>
      </c>
      <c r="E2" s="3">
        <v>575</v>
      </c>
      <c r="F2" s="1">
        <v>0.38</v>
      </c>
      <c r="G2" s="2" t="s">
        <v>337</v>
      </c>
      <c r="H2" s="4">
        <v>2</v>
      </c>
      <c r="I2" s="5">
        <v>4.5</v>
      </c>
      <c r="J2" s="2" t="s">
        <v>338</v>
      </c>
      <c r="K2" t="str">
        <f>IF(OR(H2="",H2="Unknown",I2="",I2="Unknown"),"",IF(AND(H2&gt;=Review_Q3,I2&gt;=4),"Strong Engagement",IF(H2&lt;=Review_Q1,"Weak Engagement","Average Engagement")))</f>
        <v>Weak Engagement</v>
      </c>
    </row>
    <row r="3" spans="1:11" hidden="1" x14ac:dyDescent="0.25">
      <c r="A3" t="s">
        <v>10</v>
      </c>
      <c r="B3" s="3">
        <v>527</v>
      </c>
      <c r="C3" s="2" t="s">
        <v>336</v>
      </c>
      <c r="D3" s="3">
        <v>999</v>
      </c>
      <c r="E3" s="3">
        <v>472</v>
      </c>
      <c r="F3" s="1">
        <v>0.47</v>
      </c>
      <c r="G3" s="2" t="s">
        <v>339</v>
      </c>
      <c r="H3" s="4">
        <v>14</v>
      </c>
      <c r="I3" s="5">
        <v>4.0999999999999996</v>
      </c>
      <c r="J3" s="2" t="s">
        <v>338</v>
      </c>
      <c r="K3" t="str">
        <f>IF(OR(H3="",H3="Unknown",I3="",I3="Unknown"),"",IF(AND(H3&gt;=Review_Q3,I3&gt;=4),"Strong Engagement",IF(H3&lt;=Review_Q1,"Weak Engagement","Average Engagement")))</f>
        <v>Strong Engagement</v>
      </c>
    </row>
    <row r="4" spans="1:11" hidden="1" x14ac:dyDescent="0.25">
      <c r="A4" t="s">
        <v>14</v>
      </c>
      <c r="B4" s="3">
        <v>2199</v>
      </c>
      <c r="C4" s="2" t="s">
        <v>340</v>
      </c>
      <c r="D4" s="3">
        <v>2923</v>
      </c>
      <c r="E4" s="3">
        <v>724</v>
      </c>
      <c r="F4" s="1">
        <v>0.25</v>
      </c>
      <c r="G4" s="2" t="s">
        <v>337</v>
      </c>
      <c r="H4" s="4">
        <v>24</v>
      </c>
      <c r="I4" s="5">
        <v>4.5999999999999996</v>
      </c>
      <c r="J4" s="2" t="s">
        <v>338</v>
      </c>
      <c r="K4" t="str">
        <f>IF(OR(H4="",H4="Unknown",I4="",I4="Unknown"),"",IF(AND(H4&gt;=Review_Q3,I4&gt;=4),"Strong Engagement",IF(H4&lt;=Review_Q1,"Weak Engagement","Average Engagement")))</f>
        <v>Strong Engagement</v>
      </c>
    </row>
    <row r="5" spans="1:11" hidden="1" x14ac:dyDescent="0.25">
      <c r="A5" t="s">
        <v>18</v>
      </c>
      <c r="B5" s="3">
        <v>1580</v>
      </c>
      <c r="C5" s="2" t="s">
        <v>336</v>
      </c>
      <c r="D5" s="3">
        <v>2499</v>
      </c>
      <c r="E5" s="3">
        <v>919</v>
      </c>
      <c r="F5" s="1">
        <v>0.37</v>
      </c>
      <c r="G5" s="2" t="s">
        <v>337</v>
      </c>
      <c r="H5" s="4">
        <v>7</v>
      </c>
      <c r="I5" s="5">
        <v>4.7</v>
      </c>
      <c r="J5" s="2" t="s">
        <v>338</v>
      </c>
      <c r="K5" t="str">
        <f>IF(OR(H5="",H5="Unknown",I5="",I5="Unknown"),"",IF(AND(H5&gt;=Review_Q3,I5&gt;=4),"Strong Engagement",IF(H5&lt;=Review_Q1,"Weak Engagement","Average Engagement")))</f>
        <v>Average Engagement</v>
      </c>
    </row>
    <row r="6" spans="1:11" x14ac:dyDescent="0.25">
      <c r="A6" t="s">
        <v>22</v>
      </c>
      <c r="B6" s="3">
        <v>1740</v>
      </c>
      <c r="C6" s="2" t="s">
        <v>340</v>
      </c>
      <c r="D6" s="3">
        <v>2356</v>
      </c>
      <c r="E6" s="3">
        <v>616</v>
      </c>
      <c r="F6" s="1">
        <v>0.26</v>
      </c>
      <c r="G6" s="2" t="s">
        <v>337</v>
      </c>
      <c r="H6" s="4">
        <v>5</v>
      </c>
      <c r="I6" s="5">
        <v>4.8</v>
      </c>
      <c r="J6" s="2" t="s">
        <v>338</v>
      </c>
      <c r="K6" t="str">
        <f>IF(OR(H6="",H6="Unknown",I6="",I6="Unknown"),"",IF(AND(H6&gt;=Review_Q3,I6&gt;=4),"Strong Engagement",IF(H6&lt;=Review_Q1,"Weak Engagement","Average Engagement")))</f>
        <v>Weak Engagement</v>
      </c>
    </row>
    <row r="7" spans="1:11" hidden="1" x14ac:dyDescent="0.25">
      <c r="A7" t="s">
        <v>26</v>
      </c>
      <c r="B7" s="3">
        <v>2999</v>
      </c>
      <c r="C7" s="2" t="s">
        <v>340</v>
      </c>
      <c r="D7" s="3">
        <v>3290</v>
      </c>
      <c r="E7" s="3">
        <v>291</v>
      </c>
      <c r="F7" s="1">
        <v>0.09</v>
      </c>
      <c r="G7" s="2" t="s">
        <v>341</v>
      </c>
      <c r="H7" s="4">
        <v>15</v>
      </c>
      <c r="I7" s="5">
        <v>4</v>
      </c>
      <c r="J7" s="2" t="s">
        <v>342</v>
      </c>
      <c r="K7" t="str">
        <f>IF(OR(H7="",H7="Unknown",I7="",I7="Unknown"),"",IF(AND(H7&gt;=Review_Q3,I7&gt;=4),"Strong Engagement",IF(H7&lt;=Review_Q1,"Weak Engagement","Average Engagement")))</f>
        <v>Strong Engagement</v>
      </c>
    </row>
    <row r="8" spans="1:11" hidden="1" x14ac:dyDescent="0.25">
      <c r="A8" t="s">
        <v>30</v>
      </c>
      <c r="B8" s="3">
        <v>2319</v>
      </c>
      <c r="C8" s="2" t="s">
        <v>340</v>
      </c>
      <c r="D8" s="3">
        <v>3032</v>
      </c>
      <c r="E8" s="3">
        <v>713</v>
      </c>
      <c r="F8" s="1">
        <v>0.24</v>
      </c>
      <c r="G8" s="2" t="s">
        <v>337</v>
      </c>
      <c r="H8" s="4">
        <v>55</v>
      </c>
      <c r="I8" s="5">
        <v>4.5999999999999996</v>
      </c>
      <c r="J8" s="2" t="s">
        <v>338</v>
      </c>
      <c r="K8" t="str">
        <f>IF(OR(H8="",H8="Unknown",I8="",I8="Unknown"),"",IF(AND(H8&gt;=Review_Q3,I8&gt;=4),"Strong Engagement",IF(H8&lt;=Review_Q1,"Weak Engagement","Average Engagement")))</f>
        <v>Strong Engagement</v>
      </c>
    </row>
    <row r="9" spans="1:11" hidden="1" x14ac:dyDescent="0.25">
      <c r="A9" t="s">
        <v>33</v>
      </c>
      <c r="B9" s="3">
        <v>988</v>
      </c>
      <c r="C9" s="2" t="s">
        <v>336</v>
      </c>
      <c r="D9" s="3">
        <v>1580</v>
      </c>
      <c r="E9" s="3">
        <v>592</v>
      </c>
      <c r="F9" s="1">
        <v>0.37</v>
      </c>
      <c r="G9" s="2" t="s">
        <v>337</v>
      </c>
      <c r="H9" s="4">
        <v>2</v>
      </c>
      <c r="I9" s="5">
        <v>4</v>
      </c>
      <c r="J9" s="2" t="s">
        <v>342</v>
      </c>
      <c r="K9" t="str">
        <f>IF(OR(H9="",H9="Unknown",I9="",I9="Unknown"),"",IF(AND(H9&gt;=Review_Q3,I9&gt;=4),"Strong Engagement",IF(H9&lt;=Review_Q1,"Weak Engagement","Average Engagement")))</f>
        <v>Weak Engagement</v>
      </c>
    </row>
    <row r="10" spans="1:11" hidden="1" x14ac:dyDescent="0.25">
      <c r="A10" t="s">
        <v>35</v>
      </c>
      <c r="B10" s="3">
        <v>1274</v>
      </c>
      <c r="C10" s="2" t="s">
        <v>336</v>
      </c>
      <c r="D10" s="3">
        <v>2800</v>
      </c>
      <c r="E10" s="3">
        <v>1526</v>
      </c>
      <c r="F10" s="1">
        <v>0.55000000000000004</v>
      </c>
      <c r="G10" s="2" t="s">
        <v>339</v>
      </c>
      <c r="H10" s="4">
        <v>5</v>
      </c>
      <c r="I10" s="5">
        <v>4.8</v>
      </c>
      <c r="J10" s="2" t="s">
        <v>338</v>
      </c>
      <c r="K10" t="str">
        <f>IF(OR(H10="",H10="Unknown",I10="",I10="Unknown"),"",IF(AND(H10&gt;=Review_Q3,I10&gt;=4),"Strong Engagement",IF(H10&lt;=Review_Q1,"Weak Engagement","Average Engagement")))</f>
        <v>Weak Engagement</v>
      </c>
    </row>
    <row r="11" spans="1:11" hidden="1" x14ac:dyDescent="0.25">
      <c r="A11" t="s">
        <v>38</v>
      </c>
      <c r="B11" s="3">
        <v>1600</v>
      </c>
      <c r="C11" s="2" t="s">
        <v>336</v>
      </c>
      <c r="D11" s="3">
        <v>2929</v>
      </c>
      <c r="E11" s="3">
        <v>1329</v>
      </c>
      <c r="F11" s="1">
        <v>0.45</v>
      </c>
      <c r="G11" s="2" t="s">
        <v>339</v>
      </c>
      <c r="H11" s="4">
        <v>5</v>
      </c>
      <c r="I11" s="5">
        <v>3.8</v>
      </c>
      <c r="J11" s="2" t="s">
        <v>342</v>
      </c>
      <c r="K11" t="str">
        <f>IF(OR(H11="",H11="Unknown",I11="",I11="Unknown"),"",IF(AND(H11&gt;=Review_Q3,I11&gt;=4),"Strong Engagement",IF(H11&lt;=Review_Q1,"Weak Engagement","Average Engagement")))</f>
        <v>Weak Engagement</v>
      </c>
    </row>
    <row r="12" spans="1:11" hidden="1" x14ac:dyDescent="0.25">
      <c r="A12" t="s">
        <v>42</v>
      </c>
      <c r="B12" s="3">
        <v>799</v>
      </c>
      <c r="C12" s="2" t="s">
        <v>336</v>
      </c>
      <c r="D12" s="3">
        <v>999</v>
      </c>
      <c r="E12" s="3">
        <v>200</v>
      </c>
      <c r="F12" s="1">
        <v>0.2</v>
      </c>
      <c r="G12" s="2" t="s">
        <v>337</v>
      </c>
      <c r="H12" s="4">
        <v>12</v>
      </c>
      <c r="I12" s="5">
        <v>4.0999999999999996</v>
      </c>
      <c r="J12" s="2" t="s">
        <v>338</v>
      </c>
      <c r="K12" t="str">
        <f>IF(OR(H12="",H12="Unknown",I12="",I12="Unknown"),"",IF(AND(H12&gt;=Review_Q3,I12&gt;=4),"Strong Engagement",IF(H12&lt;=Review_Q1,"Weak Engagement","Average Engagement")))</f>
        <v>Average Engagement</v>
      </c>
    </row>
    <row r="13" spans="1:11" hidden="1" x14ac:dyDescent="0.25">
      <c r="A13" t="s">
        <v>44</v>
      </c>
      <c r="B13" s="3">
        <v>990</v>
      </c>
      <c r="C13" s="2" t="s">
        <v>336</v>
      </c>
      <c r="D13" s="3">
        <v>1500</v>
      </c>
      <c r="E13" s="3">
        <v>510</v>
      </c>
      <c r="F13" s="1">
        <v>0.34</v>
      </c>
      <c r="G13" s="2" t="s">
        <v>337</v>
      </c>
      <c r="H13" s="4">
        <v>39</v>
      </c>
      <c r="I13" s="5">
        <v>4.7</v>
      </c>
      <c r="J13" s="2" t="s">
        <v>338</v>
      </c>
      <c r="K13" t="str">
        <f>IF(OR(H13="",H13="Unknown",I13="",I13="Unknown"),"",IF(AND(H13&gt;=Review_Q3,I13&gt;=4),"Strong Engagement",IF(H13&lt;=Review_Q1,"Weak Engagement","Average Engagement")))</f>
        <v>Strong Engagement</v>
      </c>
    </row>
    <row r="14" spans="1:11" hidden="1" x14ac:dyDescent="0.25">
      <c r="A14" t="s">
        <v>47</v>
      </c>
      <c r="B14" s="3">
        <v>552</v>
      </c>
      <c r="C14" s="2" t="s">
        <v>336</v>
      </c>
      <c r="D14" s="3">
        <v>1035</v>
      </c>
      <c r="E14" s="3">
        <v>483</v>
      </c>
      <c r="F14" s="1">
        <v>0.47</v>
      </c>
      <c r="G14" s="2" t="s">
        <v>339</v>
      </c>
      <c r="H14" s="4">
        <v>12</v>
      </c>
      <c r="I14" s="5">
        <v>4.8</v>
      </c>
      <c r="J14" s="2" t="s">
        <v>338</v>
      </c>
      <c r="K14" t="str">
        <f>IF(OR(H14="",H14="Unknown",I14="",I14="Unknown"),"",IF(AND(H14&gt;=Review_Q3,I14&gt;=4),"Strong Engagement",IF(H14&lt;=Review_Q1,"Weak Engagement","Average Engagement")))</f>
        <v>Average Engagement</v>
      </c>
    </row>
    <row r="15" spans="1:11" hidden="1" x14ac:dyDescent="0.25">
      <c r="A15" t="s">
        <v>50</v>
      </c>
      <c r="B15" s="3">
        <v>501</v>
      </c>
      <c r="C15" s="2" t="s">
        <v>336</v>
      </c>
      <c r="D15" s="3">
        <v>860</v>
      </c>
      <c r="E15" s="3">
        <v>359</v>
      </c>
      <c r="F15" s="1">
        <v>0.42</v>
      </c>
      <c r="G15" s="2" t="s">
        <v>339</v>
      </c>
      <c r="H15" s="4">
        <v>6</v>
      </c>
      <c r="I15" s="5">
        <v>4.5</v>
      </c>
      <c r="J15" s="2" t="s">
        <v>338</v>
      </c>
      <c r="K15" t="str">
        <f>IF(OR(H15="",H15="Unknown",I15="",I15="Unknown"),"",IF(AND(H15&gt;=Review_Q3,I15&gt;=4),"Strong Engagement",IF(H15&lt;=Review_Q1,"Weak Engagement","Average Engagement")))</f>
        <v>Average Engagement</v>
      </c>
    </row>
    <row r="16" spans="1:11" hidden="1" x14ac:dyDescent="0.25">
      <c r="A16" t="s">
        <v>53</v>
      </c>
      <c r="B16" s="3">
        <v>1680</v>
      </c>
      <c r="C16" s="2" t="s">
        <v>340</v>
      </c>
      <c r="D16" s="3">
        <v>2499</v>
      </c>
      <c r="E16" s="3">
        <v>819</v>
      </c>
      <c r="F16" s="1">
        <v>0.33</v>
      </c>
      <c r="G16" s="2" t="s">
        <v>337</v>
      </c>
      <c r="H16" s="4">
        <v>9</v>
      </c>
      <c r="I16" s="5">
        <v>4.2</v>
      </c>
      <c r="J16" s="2" t="s">
        <v>338</v>
      </c>
      <c r="K16" t="str">
        <f>IF(OR(H16="",H16="Unknown",I16="",I16="Unknown"),"",IF(AND(H16&gt;=Review_Q3,I16&gt;=4),"Strong Engagement",IF(H16&lt;=Review_Q1,"Weak Engagement","Average Engagement")))</f>
        <v>Average Engagement</v>
      </c>
    </row>
    <row r="17" spans="1:11" hidden="1" x14ac:dyDescent="0.25">
      <c r="A17" t="s">
        <v>326</v>
      </c>
      <c r="B17" s="3">
        <v>332</v>
      </c>
      <c r="C17" s="2" t="s">
        <v>343</v>
      </c>
      <c r="D17" s="3">
        <v>684</v>
      </c>
      <c r="E17" s="3">
        <v>352</v>
      </c>
      <c r="F17" s="1">
        <v>0.51</v>
      </c>
      <c r="G17" s="2" t="s">
        <v>339</v>
      </c>
      <c r="H17" s="4">
        <v>2</v>
      </c>
      <c r="I17" s="5">
        <v>5</v>
      </c>
      <c r="J17" s="2" t="s">
        <v>338</v>
      </c>
      <c r="K17" t="str">
        <f>IF(OR(H17="",H17="Unknown",I17="",I17="Unknown"),"",IF(AND(H17&gt;=Review_Q3,I17&gt;=4),"Strong Engagement",IF(H17&lt;=Review_Q1,"Weak Engagement","Average Engagement")))</f>
        <v>Weak Engagement</v>
      </c>
    </row>
    <row r="18" spans="1:11" hidden="1" x14ac:dyDescent="0.25">
      <c r="A18" t="s">
        <v>327</v>
      </c>
      <c r="B18" s="3">
        <v>195</v>
      </c>
      <c r="C18" s="2" t="s">
        <v>343</v>
      </c>
      <c r="D18" s="3">
        <v>360</v>
      </c>
      <c r="E18" s="3">
        <v>165</v>
      </c>
      <c r="F18" s="1">
        <v>0.46</v>
      </c>
      <c r="G18" s="2" t="s">
        <v>339</v>
      </c>
      <c r="H18" s="4">
        <v>2</v>
      </c>
      <c r="I18" s="5">
        <v>5</v>
      </c>
      <c r="J18" s="2" t="s">
        <v>338</v>
      </c>
      <c r="K18" t="str">
        <f>IF(OR(H18="",H18="Unknown",I18="",I18="Unknown"),"",IF(AND(H18&gt;=Review_Q3,I18&gt;=4),"Strong Engagement",IF(H18&lt;=Review_Q1,"Weak Engagement","Average Engagement")))</f>
        <v>Weak Engagement</v>
      </c>
    </row>
    <row r="19" spans="1:11" x14ac:dyDescent="0.25">
      <c r="A19" t="s">
        <v>63</v>
      </c>
      <c r="B19" s="3">
        <v>2025</v>
      </c>
      <c r="C19" s="2" t="s">
        <v>340</v>
      </c>
      <c r="D19" s="3">
        <v>3971</v>
      </c>
      <c r="E19" s="3">
        <v>1946</v>
      </c>
      <c r="F19" s="1">
        <v>0.49</v>
      </c>
      <c r="G19" s="2" t="s">
        <v>339</v>
      </c>
      <c r="H19" s="4">
        <v>3</v>
      </c>
      <c r="I19" s="5">
        <v>5</v>
      </c>
      <c r="J19" s="2" t="s">
        <v>338</v>
      </c>
      <c r="K19" t="str">
        <f>IF(OR(H19="",H19="Unknown",I19="",I19="Unknown"),"",IF(AND(H19&gt;=Review_Q3,I19&gt;=4),"Strong Engagement",IF(H19&lt;=Review_Q1,"Weak Engagement","Average Engagement")))</f>
        <v>Weak Engagement</v>
      </c>
    </row>
    <row r="20" spans="1:11" x14ac:dyDescent="0.25">
      <c r="A20" t="s">
        <v>66</v>
      </c>
      <c r="B20" s="3">
        <v>2999</v>
      </c>
      <c r="C20" s="2" t="s">
        <v>340</v>
      </c>
      <c r="D20" s="3">
        <v>3699</v>
      </c>
      <c r="E20" s="3">
        <v>700</v>
      </c>
      <c r="F20" s="1">
        <v>0.19</v>
      </c>
      <c r="G20" s="2" t="s">
        <v>341</v>
      </c>
      <c r="H20" s="4">
        <v>5</v>
      </c>
      <c r="I20" s="5">
        <v>4.5999999999999996</v>
      </c>
      <c r="J20" s="2" t="s">
        <v>338</v>
      </c>
      <c r="K20" t="str">
        <f>IF(OR(H20="",H20="Unknown",I20="",I20="Unknown"),"",IF(AND(H20&gt;=Review_Q3,I20&gt;=4),"Strong Engagement",IF(H20&lt;=Review_Q1,"Weak Engagement","Average Engagement")))</f>
        <v>Weak Engagement</v>
      </c>
    </row>
    <row r="21" spans="1:11" hidden="1" x14ac:dyDescent="0.25">
      <c r="A21" t="s">
        <v>68</v>
      </c>
      <c r="B21" s="3">
        <v>998</v>
      </c>
      <c r="C21" s="2" t="s">
        <v>336</v>
      </c>
      <c r="D21" s="3">
        <v>1966</v>
      </c>
      <c r="E21" s="3">
        <v>968</v>
      </c>
      <c r="F21" s="1">
        <v>0.49</v>
      </c>
      <c r="G21" s="2" t="s">
        <v>339</v>
      </c>
      <c r="H21" s="4">
        <v>44</v>
      </c>
      <c r="I21" s="5">
        <v>4.5999999999999996</v>
      </c>
      <c r="J21" s="2" t="s">
        <v>338</v>
      </c>
      <c r="K21" t="str">
        <f>IF(OR(H21="",H21="Unknown",I21="",I21="Unknown"),"",IF(AND(H21&gt;=Review_Q3,I21&gt;=4),"Strong Engagement",IF(H21&lt;=Review_Q1,"Weak Engagement","Average Engagement")))</f>
        <v>Strong Engagement</v>
      </c>
    </row>
    <row r="22" spans="1:11" hidden="1" x14ac:dyDescent="0.25">
      <c r="A22" t="s">
        <v>71</v>
      </c>
      <c r="B22" s="3">
        <v>38</v>
      </c>
      <c r="C22" s="2" t="s">
        <v>343</v>
      </c>
      <c r="D22" s="3">
        <v>80</v>
      </c>
      <c r="E22" s="3">
        <v>42</v>
      </c>
      <c r="F22" s="1">
        <v>0.53</v>
      </c>
      <c r="G22" s="2" t="s">
        <v>339</v>
      </c>
      <c r="H22" s="4">
        <v>13</v>
      </c>
      <c r="I22" s="5">
        <v>3.3</v>
      </c>
      <c r="J22" s="2" t="s">
        <v>342</v>
      </c>
      <c r="K22" t="str">
        <f>IF(OR(H22="",H22="Unknown",I22="",I22="Unknown"),"",IF(AND(H22&gt;=Review_Q3,I22&gt;=4),"Strong Engagement",IF(H22&lt;=Review_Q1,"Weak Engagement","Average Engagement")))</f>
        <v>Average Engagement</v>
      </c>
    </row>
    <row r="23" spans="1:11" hidden="1" x14ac:dyDescent="0.25">
      <c r="A23" t="s">
        <v>75</v>
      </c>
      <c r="B23" s="3">
        <v>1860</v>
      </c>
      <c r="C23" s="2" t="s">
        <v>340</v>
      </c>
      <c r="D23" s="3">
        <v>3220</v>
      </c>
      <c r="E23" s="3">
        <v>1360</v>
      </c>
      <c r="F23" s="1">
        <v>0.42</v>
      </c>
      <c r="G23" s="2" t="s">
        <v>339</v>
      </c>
      <c r="H23" s="4" t="s">
        <v>324</v>
      </c>
      <c r="I23" s="5" t="s">
        <v>324</v>
      </c>
      <c r="J23" s="2" t="s">
        <v>324</v>
      </c>
      <c r="K23" t="s">
        <v>324</v>
      </c>
    </row>
    <row r="24" spans="1:11" hidden="1" x14ac:dyDescent="0.25">
      <c r="A24" t="s">
        <v>78</v>
      </c>
      <c r="B24" s="3">
        <v>880</v>
      </c>
      <c r="C24" s="2" t="s">
        <v>336</v>
      </c>
      <c r="D24" s="3">
        <v>1350</v>
      </c>
      <c r="E24" s="3">
        <v>470</v>
      </c>
      <c r="F24" s="1">
        <v>0.35</v>
      </c>
      <c r="G24" s="2" t="s">
        <v>337</v>
      </c>
      <c r="H24" s="4">
        <v>6</v>
      </c>
      <c r="I24" s="5">
        <v>4</v>
      </c>
      <c r="J24" s="2" t="s">
        <v>342</v>
      </c>
      <c r="K24" t="str">
        <f>IF(OR(H24="",H24="Unknown",I24="",I24="Unknown"),"",IF(AND(H24&gt;=Review_Q3,I24&gt;=4),"Strong Engagement",IF(H24&lt;=Review_Q1,"Weak Engagement","Average Engagement")))</f>
        <v>Average Engagement</v>
      </c>
    </row>
    <row r="25" spans="1:11" hidden="1" x14ac:dyDescent="0.25">
      <c r="A25" t="s">
        <v>81</v>
      </c>
      <c r="B25" s="3">
        <v>1650</v>
      </c>
      <c r="C25" s="2" t="s">
        <v>336</v>
      </c>
      <c r="D25" s="3">
        <v>2150</v>
      </c>
      <c r="E25" s="3">
        <v>500</v>
      </c>
      <c r="F25" s="1">
        <v>0.23</v>
      </c>
      <c r="G25" s="2" t="s">
        <v>337</v>
      </c>
      <c r="H25" s="4">
        <v>14</v>
      </c>
      <c r="I25" s="5">
        <v>4.4000000000000004</v>
      </c>
      <c r="J25" s="2" t="s">
        <v>338</v>
      </c>
      <c r="K25" t="str">
        <f>IF(OR(H25="",H25="Unknown",I25="",I25="Unknown"),"",IF(AND(H25&gt;=Review_Q3,I25&gt;=4),"Strong Engagement",IF(H25&lt;=Review_Q1,"Weak Engagement","Average Engagement")))</f>
        <v>Strong Engagement</v>
      </c>
    </row>
    <row r="26" spans="1:11" hidden="1" x14ac:dyDescent="0.25">
      <c r="A26" t="s">
        <v>85</v>
      </c>
      <c r="B26" s="3">
        <v>2048</v>
      </c>
      <c r="C26" s="2" t="s">
        <v>340</v>
      </c>
      <c r="D26" s="3">
        <v>4500</v>
      </c>
      <c r="E26" s="3">
        <v>2452</v>
      </c>
      <c r="F26" s="1">
        <v>0.54</v>
      </c>
      <c r="G26" s="2" t="s">
        <v>339</v>
      </c>
      <c r="H26" s="4">
        <v>7</v>
      </c>
      <c r="I26" s="5">
        <v>4.3</v>
      </c>
      <c r="J26" s="2" t="s">
        <v>338</v>
      </c>
      <c r="K26" t="str">
        <f>IF(OR(H26="",H26="Unknown",I26="",I26="Unknown"),"",IF(AND(H26&gt;=Review_Q3,I26&gt;=4),"Strong Engagement",IF(H26&lt;=Review_Q1,"Weak Engagement","Average Engagement")))</f>
        <v>Average Engagement</v>
      </c>
    </row>
    <row r="27" spans="1:11" hidden="1" x14ac:dyDescent="0.25">
      <c r="A27" t="s">
        <v>89</v>
      </c>
      <c r="B27" s="3">
        <v>420</v>
      </c>
      <c r="C27" s="2" t="s">
        <v>343</v>
      </c>
      <c r="D27" s="3">
        <v>647</v>
      </c>
      <c r="E27" s="3">
        <v>227</v>
      </c>
      <c r="F27" s="1">
        <v>0.35</v>
      </c>
      <c r="G27" s="2" t="s">
        <v>337</v>
      </c>
      <c r="H27" s="4">
        <v>49</v>
      </c>
      <c r="I27" s="5">
        <v>4.5999999999999996</v>
      </c>
      <c r="J27" s="2" t="s">
        <v>338</v>
      </c>
      <c r="K27" t="str">
        <f>IF(OR(H27="",H27="Unknown",I27="",I27="Unknown"),"",IF(AND(H27&gt;=Review_Q3,I27&gt;=4),"Strong Engagement",IF(H27&lt;=Review_Q1,"Weak Engagement","Average Engagement")))</f>
        <v>Strong Engagement</v>
      </c>
    </row>
    <row r="28" spans="1:11" hidden="1" x14ac:dyDescent="0.25">
      <c r="A28" t="s">
        <v>92</v>
      </c>
      <c r="B28" s="3">
        <v>2880</v>
      </c>
      <c r="C28" s="2" t="s">
        <v>340</v>
      </c>
      <c r="D28" s="3">
        <v>3520</v>
      </c>
      <c r="E28" s="3">
        <v>640</v>
      </c>
      <c r="F28" s="1">
        <v>0.18</v>
      </c>
      <c r="G28" s="2" t="s">
        <v>341</v>
      </c>
      <c r="H28" s="4">
        <v>12</v>
      </c>
      <c r="I28" s="5">
        <v>3.8</v>
      </c>
      <c r="J28" s="2" t="s">
        <v>342</v>
      </c>
      <c r="K28" t="str">
        <f>IF(OR(H28="",H28="Unknown",I28="",I28="Unknown"),"",IF(AND(H28&gt;=Review_Q3,I28&gt;=4),"Strong Engagement",IF(H28&lt;=Review_Q1,"Weak Engagement","Average Engagement")))</f>
        <v>Average Engagement</v>
      </c>
    </row>
    <row r="29" spans="1:11" hidden="1" x14ac:dyDescent="0.25">
      <c r="A29" t="s">
        <v>95</v>
      </c>
      <c r="B29" s="3">
        <v>1350</v>
      </c>
      <c r="C29" s="2" t="s">
        <v>336</v>
      </c>
      <c r="D29" s="3">
        <v>1990</v>
      </c>
      <c r="E29" s="3">
        <v>640</v>
      </c>
      <c r="F29" s="1">
        <v>0.32</v>
      </c>
      <c r="G29" s="2" t="s">
        <v>337</v>
      </c>
      <c r="H29" s="4">
        <v>13</v>
      </c>
      <c r="I29" s="5">
        <v>3.8</v>
      </c>
      <c r="J29" s="2" t="s">
        <v>342</v>
      </c>
      <c r="K29" t="str">
        <f>IF(OR(H29="",H29="Unknown",I29="",I29="Unknown"),"",IF(AND(H29&gt;=Review_Q3,I29&gt;=4),"Strong Engagement",IF(H29&lt;=Review_Q1,"Weak Engagement","Average Engagement")))</f>
        <v>Average Engagement</v>
      </c>
    </row>
    <row r="30" spans="1:11" hidden="1" x14ac:dyDescent="0.25">
      <c r="A30" t="s">
        <v>97</v>
      </c>
      <c r="B30" s="3">
        <v>1758</v>
      </c>
      <c r="C30" s="2" t="s">
        <v>340</v>
      </c>
      <c r="D30" s="3">
        <v>2499</v>
      </c>
      <c r="E30" s="3">
        <v>741</v>
      </c>
      <c r="F30" s="1">
        <v>0.3</v>
      </c>
      <c r="G30" s="2" t="s">
        <v>337</v>
      </c>
      <c r="H30" s="4">
        <v>20</v>
      </c>
      <c r="I30" s="5">
        <v>4.0999999999999996</v>
      </c>
      <c r="J30" s="2" t="s">
        <v>338</v>
      </c>
      <c r="K30" t="str">
        <f>IF(OR(H30="",H30="Unknown",I30="",I30="Unknown"),"",IF(AND(H30&gt;=Review_Q3,I30&gt;=4),"Strong Engagement",IF(H30&lt;=Review_Q1,"Weak Engagement","Average Engagement")))</f>
        <v>Strong Engagement</v>
      </c>
    </row>
    <row r="31" spans="1:11" hidden="1" x14ac:dyDescent="0.25">
      <c r="A31" t="s">
        <v>99</v>
      </c>
      <c r="B31" s="3">
        <v>2200</v>
      </c>
      <c r="C31" s="2" t="s">
        <v>340</v>
      </c>
      <c r="D31" s="3">
        <v>4080</v>
      </c>
      <c r="E31" s="3">
        <v>1880</v>
      </c>
      <c r="F31" s="1">
        <v>0.46</v>
      </c>
      <c r="G31" s="2" t="s">
        <v>339</v>
      </c>
      <c r="H31" s="4" t="s">
        <v>324</v>
      </c>
      <c r="I31" s="5" t="s">
        <v>324</v>
      </c>
      <c r="J31" s="2" t="s">
        <v>324</v>
      </c>
      <c r="K31" t="s">
        <v>324</v>
      </c>
    </row>
    <row r="32" spans="1:11" hidden="1" x14ac:dyDescent="0.25">
      <c r="A32" t="s">
        <v>102</v>
      </c>
      <c r="B32" s="3">
        <v>185</v>
      </c>
      <c r="C32" s="2" t="s">
        <v>343</v>
      </c>
      <c r="D32" s="3">
        <v>382</v>
      </c>
      <c r="E32" s="3">
        <v>197</v>
      </c>
      <c r="F32" s="1">
        <v>0.52</v>
      </c>
      <c r="G32" s="2" t="s">
        <v>339</v>
      </c>
      <c r="H32" s="4">
        <v>9</v>
      </c>
      <c r="I32" s="5">
        <v>4.3</v>
      </c>
      <c r="J32" s="2" t="s">
        <v>338</v>
      </c>
      <c r="K32" t="str">
        <f>IF(OR(H32="",H32="Unknown",I32="",I32="Unknown"),"",IF(AND(H32&gt;=Review_Q3,I32&gt;=4),"Strong Engagement",IF(H32&lt;=Review_Q1,"Weak Engagement","Average Engagement")))</f>
        <v>Average Engagement</v>
      </c>
    </row>
    <row r="33" spans="1:11" hidden="1" x14ac:dyDescent="0.25">
      <c r="A33" t="s">
        <v>105</v>
      </c>
      <c r="B33" s="3">
        <v>980</v>
      </c>
      <c r="C33" s="2" t="s">
        <v>336</v>
      </c>
      <c r="D33" s="3">
        <v>1490</v>
      </c>
      <c r="E33" s="3">
        <v>510</v>
      </c>
      <c r="F33" s="1">
        <v>0.34</v>
      </c>
      <c r="G33" s="2" t="s">
        <v>337</v>
      </c>
      <c r="H33" s="4">
        <v>12</v>
      </c>
      <c r="I33" s="5">
        <v>4.7</v>
      </c>
      <c r="J33" s="2" t="s">
        <v>338</v>
      </c>
      <c r="K33" t="str">
        <f>IF(OR(H33="",H33="Unknown",I33="",I33="Unknown"),"",IF(AND(H33&gt;=Review_Q3,I33&gt;=4),"Strong Engagement",IF(H33&lt;=Review_Q1,"Weak Engagement","Average Engagement")))</f>
        <v>Average Engagement</v>
      </c>
    </row>
    <row r="34" spans="1:11" hidden="1" x14ac:dyDescent="0.25">
      <c r="A34" t="s">
        <v>328</v>
      </c>
      <c r="B34" s="3">
        <v>1820</v>
      </c>
      <c r="C34" s="2" t="s">
        <v>340</v>
      </c>
      <c r="D34" s="3">
        <v>3490</v>
      </c>
      <c r="E34" s="3">
        <v>1670</v>
      </c>
      <c r="F34" s="1">
        <v>0.48</v>
      </c>
      <c r="G34" s="2" t="s">
        <v>339</v>
      </c>
      <c r="H34" s="4">
        <v>9</v>
      </c>
      <c r="I34" s="5">
        <v>4.3</v>
      </c>
      <c r="J34" s="2" t="s">
        <v>338</v>
      </c>
      <c r="K34" t="str">
        <f>IF(OR(H34="",H34="Unknown",I34="",I34="Unknown"),"",IF(AND(H34&gt;=Review_Q3,I34&gt;=4),"Strong Engagement",IF(H34&lt;=Review_Q1,"Weak Engagement","Average Engagement")))</f>
        <v>Average Engagement</v>
      </c>
    </row>
    <row r="35" spans="1:11" hidden="1" x14ac:dyDescent="0.25">
      <c r="A35" t="s">
        <v>111</v>
      </c>
      <c r="B35" s="3">
        <v>1940</v>
      </c>
      <c r="C35" s="2" t="s">
        <v>340</v>
      </c>
      <c r="D35" s="3">
        <v>2650</v>
      </c>
      <c r="E35" s="3">
        <v>710</v>
      </c>
      <c r="F35" s="1">
        <v>0.27</v>
      </c>
      <c r="G35" s="2" t="s">
        <v>337</v>
      </c>
      <c r="H35" s="4">
        <v>20</v>
      </c>
      <c r="I35" s="5">
        <v>4.7</v>
      </c>
      <c r="J35" s="2" t="s">
        <v>338</v>
      </c>
      <c r="K35" t="str">
        <f>IF(OR(H35="",H35="Unknown",I35="",I35="Unknown"),"",IF(AND(H35&gt;=Review_Q3,I35&gt;=4),"Strong Engagement",IF(H35&lt;=Review_Q1,"Weak Engagement","Average Engagement")))</f>
        <v>Strong Engagement</v>
      </c>
    </row>
    <row r="36" spans="1:11" hidden="1" x14ac:dyDescent="0.25">
      <c r="A36" t="s">
        <v>114</v>
      </c>
      <c r="B36" s="3">
        <v>1980</v>
      </c>
      <c r="C36" s="2" t="s">
        <v>340</v>
      </c>
      <c r="D36" s="3">
        <v>2699</v>
      </c>
      <c r="E36" s="3">
        <v>719</v>
      </c>
      <c r="F36" s="1">
        <v>0.27</v>
      </c>
      <c r="G36" s="2" t="s">
        <v>337</v>
      </c>
      <c r="H36" s="4">
        <v>32</v>
      </c>
      <c r="I36" s="5">
        <v>4.5</v>
      </c>
      <c r="J36" s="2" t="s">
        <v>338</v>
      </c>
      <c r="K36" t="str">
        <f>IF(OR(H36="",H36="Unknown",I36="",I36="Unknown"),"",IF(AND(H36&gt;=Review_Q3,I36&gt;=4),"Strong Engagement",IF(H36&lt;=Review_Q1,"Weak Engagement","Average Engagement")))</f>
        <v>Strong Engagement</v>
      </c>
    </row>
    <row r="37" spans="1:11" hidden="1" x14ac:dyDescent="0.25">
      <c r="A37" t="s">
        <v>117</v>
      </c>
      <c r="B37" s="3">
        <v>1620</v>
      </c>
      <c r="C37" s="2" t="s">
        <v>336</v>
      </c>
      <c r="D37" s="3">
        <v>2690</v>
      </c>
      <c r="E37" s="3">
        <v>1070</v>
      </c>
      <c r="F37" s="1">
        <v>0.4</v>
      </c>
      <c r="G37" s="2" t="s">
        <v>337</v>
      </c>
      <c r="H37" s="4">
        <v>1</v>
      </c>
      <c r="I37" s="5">
        <v>5</v>
      </c>
      <c r="J37" s="2" t="s">
        <v>338</v>
      </c>
      <c r="K37" t="str">
        <f>IF(OR(H37="",H37="Unknown",I37="",I37="Unknown"),"",IF(AND(H37&gt;=Review_Q3,I37&gt;=4),"Strong Engagement",IF(H37&lt;=Review_Q1,"Weak Engagement","Average Engagement")))</f>
        <v>Weak Engagement</v>
      </c>
    </row>
    <row r="38" spans="1:11" hidden="1" x14ac:dyDescent="0.25">
      <c r="A38" t="s">
        <v>120</v>
      </c>
      <c r="B38" s="3">
        <v>171</v>
      </c>
      <c r="C38" s="2" t="s">
        <v>343</v>
      </c>
      <c r="D38" s="3">
        <v>360</v>
      </c>
      <c r="E38" s="3">
        <v>189</v>
      </c>
      <c r="F38" s="1">
        <v>0.53</v>
      </c>
      <c r="G38" s="2" t="s">
        <v>339</v>
      </c>
      <c r="H38" s="4">
        <v>2</v>
      </c>
      <c r="I38" s="5">
        <v>5</v>
      </c>
      <c r="J38" s="2" t="s">
        <v>338</v>
      </c>
      <c r="K38" t="str">
        <f>IF(OR(H38="",H38="Unknown",I38="",I38="Unknown"),"",IF(AND(H38&gt;=Review_Q3,I38&gt;=4),"Strong Engagement",IF(H38&lt;=Review_Q1,"Weak Engagement","Average Engagement")))</f>
        <v>Weak Engagement</v>
      </c>
    </row>
    <row r="39" spans="1:11" hidden="1" x14ac:dyDescent="0.25">
      <c r="A39" t="s">
        <v>122</v>
      </c>
      <c r="B39" s="3">
        <v>389</v>
      </c>
      <c r="C39" s="2" t="s">
        <v>343</v>
      </c>
      <c r="D39" s="3">
        <v>656</v>
      </c>
      <c r="E39" s="3">
        <v>267</v>
      </c>
      <c r="F39" s="1">
        <v>0.41</v>
      </c>
      <c r="G39" s="2" t="s">
        <v>339</v>
      </c>
      <c r="H39" s="4">
        <v>36</v>
      </c>
      <c r="I39" s="5">
        <v>4.3</v>
      </c>
      <c r="J39" s="2" t="s">
        <v>338</v>
      </c>
      <c r="K39" t="str">
        <f>IF(OR(H39="",H39="Unknown",I39="",I39="Unknown"),"",IF(AND(H39&gt;=Review_Q3,I39&gt;=4),"Strong Engagement",IF(H39&lt;=Review_Q1,"Weak Engagement","Average Engagement")))</f>
        <v>Strong Engagement</v>
      </c>
    </row>
    <row r="40" spans="1:11" x14ac:dyDescent="0.25">
      <c r="A40" t="s">
        <v>125</v>
      </c>
      <c r="B40" s="3">
        <v>1800</v>
      </c>
      <c r="C40" s="2" t="s">
        <v>340</v>
      </c>
      <c r="D40" s="3">
        <v>2700</v>
      </c>
      <c r="E40" s="3">
        <v>900</v>
      </c>
      <c r="F40" s="1">
        <v>0.38</v>
      </c>
      <c r="G40" s="2" t="s">
        <v>337</v>
      </c>
      <c r="H40" s="4">
        <v>2</v>
      </c>
      <c r="I40" s="5">
        <v>4.5</v>
      </c>
      <c r="J40" s="2" t="s">
        <v>338</v>
      </c>
      <c r="K40" t="str">
        <f>IF(OR(H40="",H40="Unknown",I40="",I40="Unknown"),"",IF(AND(H40&gt;=Review_Q3,I40&gt;=4),"Strong Engagement",IF(H40&lt;=Review_Q1,"Weak Engagement","Average Engagement")))</f>
        <v>Weak Engagement</v>
      </c>
    </row>
    <row r="41" spans="1:11" hidden="1" x14ac:dyDescent="0.25">
      <c r="A41" t="s">
        <v>128</v>
      </c>
      <c r="B41" s="3">
        <v>2750</v>
      </c>
      <c r="C41" s="2" t="s">
        <v>340</v>
      </c>
      <c r="D41" s="3">
        <v>4471</v>
      </c>
      <c r="E41" s="3">
        <v>1721</v>
      </c>
      <c r="F41" s="1">
        <v>0.38</v>
      </c>
      <c r="G41" s="2" t="s">
        <v>337</v>
      </c>
      <c r="H41" s="4" t="s">
        <v>324</v>
      </c>
      <c r="I41" s="5" t="s">
        <v>324</v>
      </c>
      <c r="J41" s="2" t="s">
        <v>324</v>
      </c>
      <c r="K41" t="s">
        <v>324</v>
      </c>
    </row>
    <row r="42" spans="1:11" hidden="1" x14ac:dyDescent="0.25">
      <c r="A42" t="s">
        <v>131</v>
      </c>
      <c r="B42" s="3">
        <v>475</v>
      </c>
      <c r="C42" s="2" t="s">
        <v>343</v>
      </c>
      <c r="D42" s="3">
        <v>931</v>
      </c>
      <c r="E42" s="3">
        <v>456</v>
      </c>
      <c r="F42" s="1">
        <v>0.49</v>
      </c>
      <c r="G42" s="2" t="s">
        <v>339</v>
      </c>
      <c r="H42" s="4" t="s">
        <v>324</v>
      </c>
      <c r="I42" s="5" t="s">
        <v>324</v>
      </c>
      <c r="J42" s="2" t="s">
        <v>324</v>
      </c>
      <c r="K42" t="s">
        <v>324</v>
      </c>
    </row>
    <row r="43" spans="1:11" hidden="1" x14ac:dyDescent="0.25">
      <c r="A43" t="s">
        <v>134</v>
      </c>
      <c r="B43" s="3">
        <v>238</v>
      </c>
      <c r="C43" s="2" t="s">
        <v>343</v>
      </c>
      <c r="D43" s="3">
        <v>476</v>
      </c>
      <c r="E43" s="3">
        <v>238</v>
      </c>
      <c r="F43" s="1">
        <v>0.5</v>
      </c>
      <c r="G43" s="2" t="s">
        <v>339</v>
      </c>
      <c r="H43" s="4" t="s">
        <v>324</v>
      </c>
      <c r="I43" s="5" t="s">
        <v>324</v>
      </c>
      <c r="J43" s="2" t="s">
        <v>324</v>
      </c>
      <c r="K43" t="s">
        <v>324</v>
      </c>
    </row>
    <row r="44" spans="1:11" hidden="1" x14ac:dyDescent="0.25">
      <c r="A44" t="s">
        <v>137</v>
      </c>
      <c r="B44" s="3">
        <v>610</v>
      </c>
      <c r="C44" s="2" t="s">
        <v>336</v>
      </c>
      <c r="D44" s="3">
        <v>1060</v>
      </c>
      <c r="E44" s="3">
        <v>450</v>
      </c>
      <c r="F44" s="1">
        <v>0.42</v>
      </c>
      <c r="G44" s="2" t="s">
        <v>339</v>
      </c>
      <c r="H44" s="4" t="s">
        <v>324</v>
      </c>
      <c r="I44" s="5" t="s">
        <v>324</v>
      </c>
      <c r="J44" s="2" t="s">
        <v>324</v>
      </c>
      <c r="K44" t="s">
        <v>324</v>
      </c>
    </row>
    <row r="45" spans="1:11" hidden="1" x14ac:dyDescent="0.25">
      <c r="A45" t="s">
        <v>140</v>
      </c>
      <c r="B45" s="3">
        <v>2132</v>
      </c>
      <c r="C45" s="2" t="s">
        <v>340</v>
      </c>
      <c r="D45" s="3">
        <v>2169</v>
      </c>
      <c r="E45" s="3">
        <v>37</v>
      </c>
      <c r="F45" s="1">
        <v>0.02</v>
      </c>
      <c r="G45" s="2" t="s">
        <v>341</v>
      </c>
      <c r="H45" s="4" t="s">
        <v>324</v>
      </c>
      <c r="I45" s="5" t="s">
        <v>324</v>
      </c>
      <c r="J45" s="2" t="s">
        <v>324</v>
      </c>
      <c r="K45" t="s">
        <v>324</v>
      </c>
    </row>
    <row r="46" spans="1:11" hidden="1" x14ac:dyDescent="0.25">
      <c r="A46" t="s">
        <v>143</v>
      </c>
      <c r="B46" s="3">
        <v>999</v>
      </c>
      <c r="C46" s="2" t="s">
        <v>336</v>
      </c>
      <c r="D46" s="3">
        <v>2000</v>
      </c>
      <c r="E46" s="3">
        <v>1001</v>
      </c>
      <c r="F46" s="1">
        <v>0.5</v>
      </c>
      <c r="G46" s="2" t="s">
        <v>339</v>
      </c>
      <c r="H46" s="4" t="s">
        <v>324</v>
      </c>
      <c r="I46" s="5" t="s">
        <v>324</v>
      </c>
      <c r="J46" s="2" t="s">
        <v>324</v>
      </c>
      <c r="K46" t="s">
        <v>324</v>
      </c>
    </row>
    <row r="47" spans="1:11" hidden="1" x14ac:dyDescent="0.25">
      <c r="A47" t="s">
        <v>145</v>
      </c>
      <c r="B47" s="3">
        <v>1190</v>
      </c>
      <c r="C47" s="2" t="s">
        <v>336</v>
      </c>
      <c r="D47" s="3">
        <v>1785</v>
      </c>
      <c r="E47" s="3">
        <v>595</v>
      </c>
      <c r="F47" s="1">
        <v>0.33</v>
      </c>
      <c r="G47" s="2" t="s">
        <v>337</v>
      </c>
      <c r="H47" s="4" t="s">
        <v>324</v>
      </c>
      <c r="I47" s="5" t="s">
        <v>324</v>
      </c>
      <c r="J47" s="2" t="s">
        <v>324</v>
      </c>
      <c r="K47" t="s">
        <v>324</v>
      </c>
    </row>
    <row r="48" spans="1:11" hidden="1" x14ac:dyDescent="0.25">
      <c r="A48" t="s">
        <v>148</v>
      </c>
      <c r="B48" s="3">
        <v>671</v>
      </c>
      <c r="C48" s="2" t="s">
        <v>336</v>
      </c>
      <c r="D48" s="3">
        <v>1316</v>
      </c>
      <c r="E48" s="3">
        <v>645</v>
      </c>
      <c r="F48" s="1">
        <v>0.49</v>
      </c>
      <c r="G48" s="2" t="s">
        <v>339</v>
      </c>
      <c r="H48" s="4" t="s">
        <v>324</v>
      </c>
      <c r="I48" s="5" t="s">
        <v>324</v>
      </c>
      <c r="J48" s="2" t="s">
        <v>324</v>
      </c>
      <c r="K48" t="s">
        <v>324</v>
      </c>
    </row>
    <row r="49" spans="1:11" hidden="1" x14ac:dyDescent="0.25">
      <c r="A49" t="s">
        <v>151</v>
      </c>
      <c r="B49" s="3">
        <v>1200</v>
      </c>
      <c r="C49" s="2" t="s">
        <v>336</v>
      </c>
      <c r="D49" s="3">
        <v>1950</v>
      </c>
      <c r="E49" s="3">
        <v>750</v>
      </c>
      <c r="F49" s="1">
        <v>0.38</v>
      </c>
      <c r="G49" s="2" t="s">
        <v>337</v>
      </c>
      <c r="H49" s="4" t="s">
        <v>324</v>
      </c>
      <c r="I49" s="5" t="s">
        <v>324</v>
      </c>
      <c r="J49" s="2" t="s">
        <v>324</v>
      </c>
      <c r="K49" t="s">
        <v>324</v>
      </c>
    </row>
    <row r="50" spans="1:11" hidden="1" x14ac:dyDescent="0.25">
      <c r="A50" t="s">
        <v>154</v>
      </c>
      <c r="B50" s="3">
        <v>199</v>
      </c>
      <c r="C50" s="2" t="s">
        <v>343</v>
      </c>
      <c r="D50" s="3">
        <v>504</v>
      </c>
      <c r="E50" s="3">
        <v>305</v>
      </c>
      <c r="F50" s="1">
        <v>0.61</v>
      </c>
      <c r="G50" s="2" t="s">
        <v>339</v>
      </c>
      <c r="H50" s="4" t="s">
        <v>324</v>
      </c>
      <c r="I50" s="5" t="s">
        <v>324</v>
      </c>
      <c r="J50" s="2" t="s">
        <v>324</v>
      </c>
      <c r="K50" t="s">
        <v>324</v>
      </c>
    </row>
    <row r="51" spans="1:11" hidden="1" x14ac:dyDescent="0.25">
      <c r="A51" t="s">
        <v>157</v>
      </c>
      <c r="B51" s="3">
        <v>299</v>
      </c>
      <c r="C51" s="2" t="s">
        <v>343</v>
      </c>
      <c r="D51" s="3">
        <v>600</v>
      </c>
      <c r="E51" s="3">
        <v>301</v>
      </c>
      <c r="F51" s="1">
        <v>0.5</v>
      </c>
      <c r="G51" s="2" t="s">
        <v>339</v>
      </c>
      <c r="H51" s="4" t="s">
        <v>324</v>
      </c>
      <c r="I51" s="5" t="s">
        <v>324</v>
      </c>
      <c r="J51" s="2" t="s">
        <v>324</v>
      </c>
      <c r="K51" t="s">
        <v>324</v>
      </c>
    </row>
    <row r="52" spans="1:11" hidden="1" x14ac:dyDescent="0.25">
      <c r="A52" t="s">
        <v>160</v>
      </c>
      <c r="B52" s="3">
        <v>1660</v>
      </c>
      <c r="C52" s="2" t="s">
        <v>336</v>
      </c>
      <c r="D52" s="3">
        <v>1699</v>
      </c>
      <c r="E52" s="3">
        <v>39</v>
      </c>
      <c r="F52" s="1">
        <v>0.02</v>
      </c>
      <c r="G52" s="2" t="s">
        <v>341</v>
      </c>
      <c r="H52" s="4" t="s">
        <v>324</v>
      </c>
      <c r="I52" s="5" t="s">
        <v>324</v>
      </c>
      <c r="J52" s="2" t="s">
        <v>324</v>
      </c>
      <c r="K52" t="s">
        <v>324</v>
      </c>
    </row>
    <row r="53" spans="1:11" hidden="1" x14ac:dyDescent="0.25">
      <c r="A53" t="s">
        <v>163</v>
      </c>
      <c r="B53" s="3">
        <v>299</v>
      </c>
      <c r="C53" s="2" t="s">
        <v>343</v>
      </c>
      <c r="D53" s="3">
        <v>384</v>
      </c>
      <c r="E53" s="3">
        <v>85</v>
      </c>
      <c r="F53" s="1">
        <v>0.22</v>
      </c>
      <c r="G53" s="2" t="s">
        <v>337</v>
      </c>
      <c r="H53" s="4" t="s">
        <v>324</v>
      </c>
      <c r="I53" s="5" t="s">
        <v>324</v>
      </c>
      <c r="J53" s="2" t="s">
        <v>324</v>
      </c>
      <c r="K53" t="s">
        <v>324</v>
      </c>
    </row>
    <row r="54" spans="1:11" hidden="1" x14ac:dyDescent="0.25">
      <c r="A54" t="s">
        <v>165</v>
      </c>
      <c r="B54" s="3">
        <v>1459</v>
      </c>
      <c r="C54" s="2" t="s">
        <v>336</v>
      </c>
      <c r="D54" s="3">
        <v>1499</v>
      </c>
      <c r="E54" s="3">
        <v>40</v>
      </c>
      <c r="F54" s="1">
        <v>0.03</v>
      </c>
      <c r="G54" s="2" t="s">
        <v>341</v>
      </c>
      <c r="H54" s="4" t="s">
        <v>324</v>
      </c>
      <c r="I54" s="5" t="s">
        <v>324</v>
      </c>
      <c r="J54" s="2" t="s">
        <v>324</v>
      </c>
      <c r="K54" t="s">
        <v>324</v>
      </c>
    </row>
    <row r="55" spans="1:11" hidden="1" x14ac:dyDescent="0.25">
      <c r="A55" t="s">
        <v>168</v>
      </c>
      <c r="B55" s="3">
        <v>799</v>
      </c>
      <c r="C55" s="2" t="s">
        <v>336</v>
      </c>
      <c r="D55" s="3">
        <v>1343</v>
      </c>
      <c r="E55" s="3">
        <v>544</v>
      </c>
      <c r="F55" s="1">
        <v>0.41</v>
      </c>
      <c r="G55" s="2" t="s">
        <v>339</v>
      </c>
      <c r="H55" s="4" t="s">
        <v>324</v>
      </c>
      <c r="I55" s="5" t="s">
        <v>324</v>
      </c>
      <c r="J55" s="2" t="s">
        <v>324</v>
      </c>
      <c r="K55" t="s">
        <v>324</v>
      </c>
    </row>
    <row r="56" spans="1:11" hidden="1" x14ac:dyDescent="0.25">
      <c r="A56" t="s">
        <v>170</v>
      </c>
      <c r="B56" s="3">
        <v>499</v>
      </c>
      <c r="C56" s="2" t="s">
        <v>336</v>
      </c>
      <c r="D56" s="3">
        <v>900</v>
      </c>
      <c r="E56" s="3">
        <v>401</v>
      </c>
      <c r="F56" s="1">
        <v>0.45</v>
      </c>
      <c r="G56" s="2" t="s">
        <v>339</v>
      </c>
      <c r="H56" s="4" t="s">
        <v>324</v>
      </c>
      <c r="I56" s="5" t="s">
        <v>324</v>
      </c>
      <c r="J56" s="2" t="s">
        <v>324</v>
      </c>
      <c r="K56" t="s">
        <v>324</v>
      </c>
    </row>
    <row r="57" spans="1:11" hidden="1" x14ac:dyDescent="0.25">
      <c r="A57" t="s">
        <v>173</v>
      </c>
      <c r="B57" s="3">
        <v>699</v>
      </c>
      <c r="C57" s="2" t="s">
        <v>336</v>
      </c>
      <c r="D57" s="3">
        <v>1343</v>
      </c>
      <c r="E57" s="3">
        <v>644</v>
      </c>
      <c r="F57" s="1">
        <v>0.48</v>
      </c>
      <c r="G57" s="2" t="s">
        <v>339</v>
      </c>
      <c r="H57" s="4" t="s">
        <v>324</v>
      </c>
      <c r="I57" s="5" t="s">
        <v>324</v>
      </c>
      <c r="J57" s="2" t="s">
        <v>324</v>
      </c>
      <c r="K57" t="s">
        <v>324</v>
      </c>
    </row>
    <row r="58" spans="1:11" hidden="1" x14ac:dyDescent="0.25">
      <c r="A58" t="s">
        <v>175</v>
      </c>
      <c r="B58" s="3">
        <v>799</v>
      </c>
      <c r="C58" s="2" t="s">
        <v>336</v>
      </c>
      <c r="D58" s="3">
        <v>1567</v>
      </c>
      <c r="E58" s="3">
        <v>768</v>
      </c>
      <c r="F58" s="1">
        <v>0.49</v>
      </c>
      <c r="G58" s="2" t="s">
        <v>339</v>
      </c>
      <c r="H58" s="4" t="s">
        <v>324</v>
      </c>
      <c r="I58" s="5" t="s">
        <v>324</v>
      </c>
      <c r="J58" s="2" t="s">
        <v>324</v>
      </c>
      <c r="K58" t="s">
        <v>324</v>
      </c>
    </row>
    <row r="59" spans="1:11" hidden="1" x14ac:dyDescent="0.25">
      <c r="A59" t="s">
        <v>177</v>
      </c>
      <c r="B59" s="3">
        <v>2799</v>
      </c>
      <c r="C59" s="2" t="s">
        <v>340</v>
      </c>
      <c r="D59" s="3">
        <v>3810</v>
      </c>
      <c r="E59" s="3">
        <v>1011</v>
      </c>
      <c r="F59" s="1">
        <v>0.27</v>
      </c>
      <c r="G59" s="2" t="s">
        <v>337</v>
      </c>
      <c r="H59" s="4" t="s">
        <v>324</v>
      </c>
      <c r="I59" s="5" t="s">
        <v>324</v>
      </c>
      <c r="J59" s="2" t="s">
        <v>324</v>
      </c>
      <c r="K59" t="s">
        <v>324</v>
      </c>
    </row>
    <row r="60" spans="1:11" hidden="1" x14ac:dyDescent="0.25">
      <c r="A60" t="s">
        <v>170</v>
      </c>
      <c r="B60" s="3">
        <v>399</v>
      </c>
      <c r="C60" s="2" t="s">
        <v>343</v>
      </c>
      <c r="D60" s="3">
        <v>896</v>
      </c>
      <c r="E60" s="3">
        <v>497</v>
      </c>
      <c r="F60" s="1">
        <v>0.55000000000000004</v>
      </c>
      <c r="G60" s="2" t="s">
        <v>339</v>
      </c>
      <c r="H60" s="4" t="s">
        <v>324</v>
      </c>
      <c r="I60" s="5" t="s">
        <v>324</v>
      </c>
      <c r="J60" s="2" t="s">
        <v>324</v>
      </c>
      <c r="K60" t="s">
        <v>324</v>
      </c>
    </row>
    <row r="61" spans="1:11" hidden="1" x14ac:dyDescent="0.25">
      <c r="A61" t="s">
        <v>182</v>
      </c>
      <c r="B61" s="3">
        <v>2170</v>
      </c>
      <c r="C61" s="2" t="s">
        <v>340</v>
      </c>
      <c r="D61" s="3">
        <v>2500</v>
      </c>
      <c r="E61" s="3">
        <v>330</v>
      </c>
      <c r="F61" s="1">
        <v>0.13</v>
      </c>
      <c r="G61" s="2" t="s">
        <v>341</v>
      </c>
      <c r="H61" s="4">
        <v>6</v>
      </c>
      <c r="I61" s="5">
        <v>2.5</v>
      </c>
      <c r="J61" s="2" t="s">
        <v>344</v>
      </c>
      <c r="K61" t="str">
        <f>IF(OR(H61="",H61="Unknown",I61="",I61="Unknown"),"",IF(AND(H61&gt;=Review_Q3,I61&gt;=4),"Strong Engagement",IF(H61&lt;=Review_Q1,"Weak Engagement","Average Engagement")))</f>
        <v>Average Engagement</v>
      </c>
    </row>
    <row r="62" spans="1:11" hidden="1" x14ac:dyDescent="0.25">
      <c r="A62" t="s">
        <v>186</v>
      </c>
      <c r="B62" s="3">
        <v>458</v>
      </c>
      <c r="C62" s="2" t="s">
        <v>343</v>
      </c>
      <c r="D62" s="3">
        <v>986</v>
      </c>
      <c r="E62" s="3">
        <v>528</v>
      </c>
      <c r="F62" s="1">
        <v>0.54</v>
      </c>
      <c r="G62" s="2" t="s">
        <v>339</v>
      </c>
      <c r="H62" s="4">
        <v>10</v>
      </c>
      <c r="I62" s="5">
        <v>3</v>
      </c>
      <c r="J62" s="2" t="s">
        <v>342</v>
      </c>
      <c r="K62" t="str">
        <f>IF(OR(H62="",H62="Unknown",I62="",I62="Unknown"),"",IF(AND(H62&gt;=Review_Q3,I62&gt;=4),"Strong Engagement",IF(H62&lt;=Review_Q1,"Weak Engagement","Average Engagement")))</f>
        <v>Average Engagement</v>
      </c>
    </row>
    <row r="63" spans="1:11" hidden="1" x14ac:dyDescent="0.25">
      <c r="A63" t="s">
        <v>190</v>
      </c>
      <c r="B63" s="3">
        <v>2115</v>
      </c>
      <c r="C63" s="2" t="s">
        <v>340</v>
      </c>
      <c r="D63" s="3">
        <v>4700</v>
      </c>
      <c r="E63" s="3">
        <v>2585</v>
      </c>
      <c r="F63" s="1">
        <v>0.55000000000000004</v>
      </c>
      <c r="G63" s="2" t="s">
        <v>339</v>
      </c>
      <c r="H63" s="4">
        <v>13</v>
      </c>
      <c r="I63" s="5">
        <v>2.1</v>
      </c>
      <c r="J63" s="2" t="s">
        <v>344</v>
      </c>
      <c r="K63" t="str">
        <f>IF(OR(H63="",H63="Unknown",I63="",I63="Unknown"),"",IF(AND(H63&gt;=Review_Q3,I63&gt;=4),"Strong Engagement",IF(H63&lt;=Review_Q1,"Weak Engagement","Average Engagement")))</f>
        <v>Average Engagement</v>
      </c>
    </row>
    <row r="64" spans="1:11" hidden="1" x14ac:dyDescent="0.25">
      <c r="A64" t="s">
        <v>194</v>
      </c>
      <c r="B64" s="3">
        <v>445</v>
      </c>
      <c r="C64" s="2" t="s">
        <v>343</v>
      </c>
      <c r="D64" s="3">
        <v>873</v>
      </c>
      <c r="E64" s="3">
        <v>428</v>
      </c>
      <c r="F64" s="1">
        <v>0.49</v>
      </c>
      <c r="G64" s="2" t="s">
        <v>339</v>
      </c>
      <c r="H64" s="4">
        <v>69</v>
      </c>
      <c r="I64" s="5">
        <v>2.8</v>
      </c>
      <c r="J64" s="2" t="s">
        <v>344</v>
      </c>
      <c r="K64" t="str">
        <f>IF(OR(H64="",H64="Unknown",I64="",I64="Unknown"),"",IF(AND(H64&gt;=Review_Q3,I64&gt;=4),"Strong Engagement",IF(H64&lt;=Review_Q1,"Weak Engagement","Average Engagement")))</f>
        <v>Average Engagement</v>
      </c>
    </row>
    <row r="65" spans="1:11" hidden="1" x14ac:dyDescent="0.25">
      <c r="A65" t="s">
        <v>329</v>
      </c>
      <c r="B65" s="3">
        <v>325</v>
      </c>
      <c r="C65" s="2" t="s">
        <v>343</v>
      </c>
      <c r="D65" s="3">
        <v>680</v>
      </c>
      <c r="E65" s="3">
        <v>355</v>
      </c>
      <c r="F65" s="1">
        <v>0.52</v>
      </c>
      <c r="G65" s="2" t="s">
        <v>339</v>
      </c>
      <c r="H65" s="4">
        <v>15</v>
      </c>
      <c r="I65" s="5">
        <v>2.7</v>
      </c>
      <c r="J65" s="2" t="s">
        <v>344</v>
      </c>
      <c r="K65" t="str">
        <f>IF(OR(H65="",H65="Unknown",I65="",I65="Unknown"),"",IF(AND(H65&gt;=Review_Q3,I65&gt;=4),"Strong Engagement",IF(H65&lt;=Review_Q1,"Weak Engagement","Average Engagement")))</f>
        <v>Average Engagement</v>
      </c>
    </row>
    <row r="66" spans="1:11" hidden="1" x14ac:dyDescent="0.25">
      <c r="A66" t="s">
        <v>202</v>
      </c>
      <c r="B66" s="3">
        <v>1220</v>
      </c>
      <c r="C66" s="2" t="s">
        <v>336</v>
      </c>
      <c r="D66" s="3">
        <v>1555</v>
      </c>
      <c r="E66" s="3">
        <v>335</v>
      </c>
      <c r="F66" s="1">
        <v>0.22</v>
      </c>
      <c r="G66" s="2" t="s">
        <v>337</v>
      </c>
      <c r="H66" s="4">
        <v>16</v>
      </c>
      <c r="I66" s="5">
        <v>2.9</v>
      </c>
      <c r="J66" s="2" t="s">
        <v>344</v>
      </c>
      <c r="K66" t="str">
        <f>IF(OR(H66="",H66="Unknown",I66="",I66="Unknown"),"",IF(AND(H66&gt;=Review_Q3,I66&gt;=4),"Strong Engagement",IF(H66&lt;=Review_Q1,"Weak Engagement","Average Engagement")))</f>
        <v>Average Engagement</v>
      </c>
    </row>
    <row r="67" spans="1:11" hidden="1" x14ac:dyDescent="0.25">
      <c r="A67" t="s">
        <v>206</v>
      </c>
      <c r="B67" s="3">
        <v>990</v>
      </c>
      <c r="C67" s="2" t="s">
        <v>336</v>
      </c>
      <c r="D67" s="3">
        <v>1814</v>
      </c>
      <c r="E67" s="3">
        <v>824</v>
      </c>
      <c r="F67" s="1">
        <v>0.45</v>
      </c>
      <c r="G67" s="2" t="s">
        <v>339</v>
      </c>
      <c r="H67" s="4">
        <v>6</v>
      </c>
      <c r="I67" s="5">
        <v>2.2000000000000002</v>
      </c>
      <c r="J67" s="2" t="s">
        <v>344</v>
      </c>
      <c r="K67" t="str">
        <f>IF(OR(H67="",H67="Unknown",I67="",I67="Unknown"),"",IF(AND(H67&gt;=Review_Q3,I67&gt;=4),"Strong Engagement",IF(H67&lt;=Review_Q1,"Weak Engagement","Average Engagement")))</f>
        <v>Average Engagement</v>
      </c>
    </row>
    <row r="68" spans="1:11" hidden="1" x14ac:dyDescent="0.25">
      <c r="A68" t="s">
        <v>209</v>
      </c>
      <c r="B68" s="3">
        <v>1000</v>
      </c>
      <c r="C68" s="2" t="s">
        <v>336</v>
      </c>
      <c r="D68" s="3">
        <v>2000</v>
      </c>
      <c r="E68" s="3">
        <v>1000</v>
      </c>
      <c r="F68" s="1">
        <v>0.5</v>
      </c>
      <c r="G68" s="2" t="s">
        <v>339</v>
      </c>
      <c r="H68" s="4">
        <v>7</v>
      </c>
      <c r="I68" s="5">
        <v>2.2999999999999998</v>
      </c>
      <c r="J68" s="2" t="s">
        <v>344</v>
      </c>
      <c r="K68" t="str">
        <f>IF(OR(H68="",H68="Unknown",I68="",I68="Unknown"),"",IF(AND(H68&gt;=Review_Q3,I68&gt;=4),"Strong Engagement",IF(H68&lt;=Review_Q1,"Weak Engagement","Average Engagement")))</f>
        <v>Average Engagement</v>
      </c>
    </row>
    <row r="69" spans="1:11" x14ac:dyDescent="0.25">
      <c r="A69" t="s">
        <v>212</v>
      </c>
      <c r="B69" s="3">
        <v>3750</v>
      </c>
      <c r="C69" s="2" t="s">
        <v>340</v>
      </c>
      <c r="D69" s="3">
        <v>6143</v>
      </c>
      <c r="E69" s="3">
        <v>2393</v>
      </c>
      <c r="F69" s="1">
        <v>0.39</v>
      </c>
      <c r="G69" s="2" t="s">
        <v>337</v>
      </c>
      <c r="H69" s="4">
        <v>5</v>
      </c>
      <c r="I69" s="5">
        <v>3</v>
      </c>
      <c r="J69" s="2" t="s">
        <v>342</v>
      </c>
      <c r="K69" t="str">
        <f>IF(OR(H69="",H69="Unknown",I69="",I69="Unknown"),"",IF(AND(H69&gt;=Review_Q3,I69&gt;=4),"Strong Engagement",IF(H69&lt;=Review_Q1,"Weak Engagement","Average Engagement")))</f>
        <v>Weak Engagement</v>
      </c>
    </row>
    <row r="70" spans="1:11" hidden="1" x14ac:dyDescent="0.25">
      <c r="A70" t="s">
        <v>215</v>
      </c>
      <c r="B70" s="3">
        <v>382</v>
      </c>
      <c r="C70" s="2" t="s">
        <v>343</v>
      </c>
      <c r="D70" s="3">
        <v>700</v>
      </c>
      <c r="E70" s="3">
        <v>318</v>
      </c>
      <c r="F70" s="1">
        <v>0.45</v>
      </c>
      <c r="G70" s="2" t="s">
        <v>339</v>
      </c>
      <c r="H70" s="4">
        <v>17</v>
      </c>
      <c r="I70" s="5">
        <v>2.6</v>
      </c>
      <c r="J70" s="2" t="s">
        <v>344</v>
      </c>
      <c r="K70" t="str">
        <f>IF(OR(H70="",H70="Unknown",I70="",I70="Unknown"),"",IF(AND(H70&gt;=Review_Q3,I70&gt;=4),"Strong Engagement",IF(H70&lt;=Review_Q1,"Weak Engagement","Average Engagement")))</f>
        <v>Average Engagement</v>
      </c>
    </row>
    <row r="71" spans="1:11" x14ac:dyDescent="0.25">
      <c r="A71" t="s">
        <v>218</v>
      </c>
      <c r="B71" s="3">
        <v>2300</v>
      </c>
      <c r="C71" s="2" t="s">
        <v>340</v>
      </c>
      <c r="D71" s="3">
        <v>3240</v>
      </c>
      <c r="E71" s="3">
        <v>940</v>
      </c>
      <c r="F71" s="1">
        <v>0.28999999999999998</v>
      </c>
      <c r="G71" s="2" t="s">
        <v>337</v>
      </c>
      <c r="H71" s="4">
        <v>5</v>
      </c>
      <c r="I71" s="5">
        <v>3</v>
      </c>
      <c r="J71" s="2" t="s">
        <v>342</v>
      </c>
      <c r="K71" t="str">
        <f>IF(OR(H71="",H71="Unknown",I71="",I71="Unknown"),"",IF(AND(H71&gt;=Review_Q3,I71&gt;=4),"Strong Engagement",IF(H71&lt;=Review_Q1,"Weak Engagement","Average Engagement")))</f>
        <v>Weak Engagement</v>
      </c>
    </row>
    <row r="72" spans="1:11" hidden="1" x14ac:dyDescent="0.25">
      <c r="A72" t="s">
        <v>221</v>
      </c>
      <c r="B72" s="3">
        <v>345</v>
      </c>
      <c r="C72" s="2" t="s">
        <v>343</v>
      </c>
      <c r="D72" s="3">
        <v>602</v>
      </c>
      <c r="E72" s="3">
        <v>257</v>
      </c>
      <c r="F72" s="1">
        <v>0.43</v>
      </c>
      <c r="G72" s="2" t="s">
        <v>339</v>
      </c>
      <c r="H72" s="4">
        <v>6</v>
      </c>
      <c r="I72" s="5">
        <v>2.2999999999999998</v>
      </c>
      <c r="J72" s="2" t="s">
        <v>344</v>
      </c>
      <c r="K72" t="str">
        <f>IF(OR(H72="",H72="Unknown",I72="",I72="Unknown"),"",IF(AND(H72&gt;=Review_Q3,I72&gt;=4),"Strong Engagement",IF(H72&lt;=Review_Q1,"Weak Engagement","Average Engagement")))</f>
        <v>Average Engagement</v>
      </c>
    </row>
    <row r="73" spans="1:11" hidden="1" x14ac:dyDescent="0.25">
      <c r="A73" t="s">
        <v>224</v>
      </c>
      <c r="B73" s="3">
        <v>509</v>
      </c>
      <c r="C73" s="2" t="s">
        <v>336</v>
      </c>
      <c r="D73" s="3">
        <v>899</v>
      </c>
      <c r="E73" s="3">
        <v>390</v>
      </c>
      <c r="F73" s="1">
        <v>0.43</v>
      </c>
      <c r="G73" s="2" t="s">
        <v>339</v>
      </c>
      <c r="H73" s="4">
        <v>5</v>
      </c>
      <c r="I73" s="5">
        <v>3</v>
      </c>
      <c r="J73" s="2" t="s">
        <v>342</v>
      </c>
      <c r="K73" t="str">
        <f>IF(OR(H73="",H73="Unknown",I73="",I73="Unknown"),"",IF(AND(H73&gt;=Review_Q3,I73&gt;=4),"Strong Engagement",IF(H73&lt;=Review_Q1,"Weak Engagement","Average Engagement")))</f>
        <v>Weak Engagement</v>
      </c>
    </row>
    <row r="74" spans="1:11" hidden="1" x14ac:dyDescent="0.25">
      <c r="A74" t="s">
        <v>227</v>
      </c>
      <c r="B74" s="3">
        <v>968</v>
      </c>
      <c r="C74" s="2" t="s">
        <v>336</v>
      </c>
      <c r="D74" s="3">
        <v>1814</v>
      </c>
      <c r="E74" s="3">
        <v>846</v>
      </c>
      <c r="F74" s="1">
        <v>0.47</v>
      </c>
      <c r="G74" s="2" t="s">
        <v>339</v>
      </c>
      <c r="H74" s="4">
        <v>6</v>
      </c>
      <c r="I74" s="5">
        <v>2.2000000000000002</v>
      </c>
      <c r="J74" s="2" t="s">
        <v>344</v>
      </c>
      <c r="K74" t="str">
        <f>IF(OR(H74="",H74="Unknown",I74="",I74="Unknown"),"",IF(AND(H74&gt;=Review_Q3,I74&gt;=4),"Strong Engagement",IF(H74&lt;=Review_Q1,"Weak Engagement","Average Engagement")))</f>
        <v>Average Engagement</v>
      </c>
    </row>
    <row r="75" spans="1:11" hidden="1" x14ac:dyDescent="0.25">
      <c r="A75" t="s">
        <v>229</v>
      </c>
      <c r="B75" s="3">
        <v>1570</v>
      </c>
      <c r="C75" s="2" t="s">
        <v>336</v>
      </c>
      <c r="D75" s="3">
        <v>2988</v>
      </c>
      <c r="E75" s="3">
        <v>1418</v>
      </c>
      <c r="F75" s="1">
        <v>0.47</v>
      </c>
      <c r="G75" s="2" t="s">
        <v>339</v>
      </c>
      <c r="H75" s="4">
        <v>7</v>
      </c>
      <c r="I75" s="5">
        <v>2.1</v>
      </c>
      <c r="J75" s="2" t="s">
        <v>344</v>
      </c>
      <c r="K75" t="str">
        <f>IF(OR(H75="",H75="Unknown",I75="",I75="Unknown"),"",IF(AND(H75&gt;=Review_Q3,I75&gt;=4),"Strong Engagement",IF(H75&lt;=Review_Q1,"Weak Engagement","Average Engagement")))</f>
        <v>Average Engagement</v>
      </c>
    </row>
    <row r="76" spans="1:11" hidden="1" x14ac:dyDescent="0.25">
      <c r="A76" t="s">
        <v>232</v>
      </c>
      <c r="B76" s="3">
        <v>790</v>
      </c>
      <c r="C76" s="2" t="s">
        <v>336</v>
      </c>
      <c r="D76" s="3">
        <v>1485</v>
      </c>
      <c r="E76" s="3">
        <v>695</v>
      </c>
      <c r="F76" s="1">
        <v>0.47</v>
      </c>
      <c r="G76" s="2" t="s">
        <v>339</v>
      </c>
      <c r="H76" s="4" t="s">
        <v>324</v>
      </c>
      <c r="I76" s="5" t="s">
        <v>324</v>
      </c>
      <c r="J76" s="2" t="s">
        <v>324</v>
      </c>
      <c r="K76" t="s">
        <v>324</v>
      </c>
    </row>
    <row r="77" spans="1:11" hidden="1" x14ac:dyDescent="0.25">
      <c r="A77" t="s">
        <v>235</v>
      </c>
      <c r="B77" s="3">
        <v>690</v>
      </c>
      <c r="C77" s="2" t="s">
        <v>336</v>
      </c>
      <c r="D77" s="3">
        <v>1200</v>
      </c>
      <c r="E77" s="3">
        <v>510</v>
      </c>
      <c r="F77" s="1">
        <v>0.43</v>
      </c>
      <c r="G77" s="2" t="s">
        <v>339</v>
      </c>
      <c r="H77" s="4" t="s">
        <v>324</v>
      </c>
      <c r="I77" s="5" t="s">
        <v>324</v>
      </c>
      <c r="J77" s="2" t="s">
        <v>324</v>
      </c>
      <c r="K77" t="s">
        <v>324</v>
      </c>
    </row>
    <row r="78" spans="1:11" hidden="1" x14ac:dyDescent="0.25">
      <c r="A78" t="s">
        <v>237</v>
      </c>
      <c r="B78" s="3">
        <v>1732</v>
      </c>
      <c r="C78" s="2" t="s">
        <v>340</v>
      </c>
      <c r="D78" s="3">
        <v>1799</v>
      </c>
      <c r="E78" s="3">
        <v>67</v>
      </c>
      <c r="F78" s="1">
        <v>0.04</v>
      </c>
      <c r="G78" s="2" t="s">
        <v>341</v>
      </c>
      <c r="H78" s="4" t="s">
        <v>324</v>
      </c>
      <c r="I78" s="5" t="s">
        <v>324</v>
      </c>
      <c r="J78" s="2" t="s">
        <v>324</v>
      </c>
      <c r="K78" t="s">
        <v>324</v>
      </c>
    </row>
    <row r="79" spans="1:11" hidden="1" x14ac:dyDescent="0.25">
      <c r="A79" t="s">
        <v>240</v>
      </c>
      <c r="B79" s="3">
        <v>230</v>
      </c>
      <c r="C79" s="2" t="s">
        <v>343</v>
      </c>
      <c r="D79" s="3">
        <v>450</v>
      </c>
      <c r="E79" s="3">
        <v>220</v>
      </c>
      <c r="F79" s="1">
        <v>0.49</v>
      </c>
      <c r="G79" s="2" t="s">
        <v>339</v>
      </c>
      <c r="H79" s="4" t="s">
        <v>324</v>
      </c>
      <c r="I79" s="5" t="s">
        <v>324</v>
      </c>
      <c r="J79" s="2" t="s">
        <v>324</v>
      </c>
      <c r="K79" t="s">
        <v>324</v>
      </c>
    </row>
    <row r="80" spans="1:11" hidden="1" x14ac:dyDescent="0.25">
      <c r="A80" t="s">
        <v>243</v>
      </c>
      <c r="B80" s="3">
        <v>1189</v>
      </c>
      <c r="C80" s="2" t="s">
        <v>336</v>
      </c>
      <c r="D80" s="3">
        <v>2199</v>
      </c>
      <c r="E80" s="3">
        <v>1010</v>
      </c>
      <c r="F80" s="1">
        <v>0.46</v>
      </c>
      <c r="G80" s="2" t="s">
        <v>339</v>
      </c>
      <c r="H80" s="4">
        <v>1</v>
      </c>
      <c r="I80" s="5">
        <v>3</v>
      </c>
      <c r="J80" s="2" t="s">
        <v>342</v>
      </c>
      <c r="K80" t="str">
        <f>IF(OR(H80="",H80="Unknown",I80="",I80="Unknown"),"",IF(AND(H80&gt;=Review_Q3,I80&gt;=4),"Strong Engagement",IF(H80&lt;=Review_Q1,"Weak Engagement","Average Engagement")))</f>
        <v>Weak Engagement</v>
      </c>
    </row>
    <row r="81" spans="1:11" hidden="1" x14ac:dyDescent="0.25">
      <c r="A81" t="s">
        <v>245</v>
      </c>
      <c r="B81" s="3">
        <v>979</v>
      </c>
      <c r="C81" s="2" t="s">
        <v>336</v>
      </c>
      <c r="D81" s="3">
        <v>1920</v>
      </c>
      <c r="E81" s="3">
        <v>941</v>
      </c>
      <c r="F81" s="1">
        <v>0.49</v>
      </c>
      <c r="G81" s="2" t="s">
        <v>339</v>
      </c>
      <c r="H81" s="4">
        <v>1</v>
      </c>
      <c r="I81" s="5">
        <v>5</v>
      </c>
      <c r="J81" s="2" t="s">
        <v>338</v>
      </c>
      <c r="K81" t="str">
        <f>IF(OR(H81="",H81="Unknown",I81="",I81="Unknown"),"",IF(AND(H81&gt;=Review_Q3,I81&gt;=4),"Strong Engagement",IF(H81&lt;=Review_Q1,"Weak Engagement","Average Engagement")))</f>
        <v>Weak Engagement</v>
      </c>
    </row>
    <row r="82" spans="1:11" hidden="1" x14ac:dyDescent="0.25">
      <c r="A82" t="s">
        <v>248</v>
      </c>
      <c r="B82" s="3">
        <v>1460</v>
      </c>
      <c r="C82" s="2" t="s">
        <v>336</v>
      </c>
      <c r="D82" s="3">
        <v>2290</v>
      </c>
      <c r="E82" s="3">
        <v>830</v>
      </c>
      <c r="F82" s="1">
        <v>0.36</v>
      </c>
      <c r="G82" s="2" t="s">
        <v>337</v>
      </c>
      <c r="H82" s="4" t="s">
        <v>324</v>
      </c>
      <c r="I82" s="5" t="s">
        <v>324</v>
      </c>
      <c r="J82" s="2" t="s">
        <v>324</v>
      </c>
      <c r="K82" t="s">
        <v>324</v>
      </c>
    </row>
    <row r="83" spans="1:11" hidden="1" x14ac:dyDescent="0.25">
      <c r="A83" t="s">
        <v>251</v>
      </c>
      <c r="B83" s="3">
        <v>1666</v>
      </c>
      <c r="C83" s="2" t="s">
        <v>336</v>
      </c>
      <c r="D83" s="3">
        <v>1699</v>
      </c>
      <c r="E83" s="3">
        <v>33</v>
      </c>
      <c r="F83" s="1">
        <v>0.02</v>
      </c>
      <c r="G83" s="2" t="s">
        <v>341</v>
      </c>
      <c r="H83" s="4" t="s">
        <v>324</v>
      </c>
      <c r="I83" s="5" t="s">
        <v>324</v>
      </c>
      <c r="J83" s="2" t="s">
        <v>324</v>
      </c>
      <c r="K83" t="s">
        <v>324</v>
      </c>
    </row>
    <row r="84" spans="1:11" hidden="1" x14ac:dyDescent="0.25">
      <c r="A84" t="s">
        <v>253</v>
      </c>
      <c r="B84" s="3">
        <v>330</v>
      </c>
      <c r="C84" s="2" t="s">
        <v>343</v>
      </c>
      <c r="D84" s="3">
        <v>647</v>
      </c>
      <c r="E84" s="3">
        <v>317</v>
      </c>
      <c r="F84" s="1">
        <v>0.49</v>
      </c>
      <c r="G84" s="2" t="s">
        <v>339</v>
      </c>
      <c r="H84" s="4">
        <v>1</v>
      </c>
      <c r="I84" s="5">
        <v>4</v>
      </c>
      <c r="J84" s="2" t="s">
        <v>342</v>
      </c>
      <c r="K84" t="str">
        <f>IF(OR(H84="",H84="Unknown",I84="",I84="Unknown"),"",IF(AND(H84&gt;=Review_Q3,I84&gt;=4),"Strong Engagement",IF(H84&lt;=Review_Q1,"Weak Engagement","Average Engagement")))</f>
        <v>Weak Engagement</v>
      </c>
    </row>
    <row r="85" spans="1:11" hidden="1" x14ac:dyDescent="0.25">
      <c r="A85" t="s">
        <v>154</v>
      </c>
      <c r="B85" s="3">
        <v>176</v>
      </c>
      <c r="C85" s="2" t="s">
        <v>343</v>
      </c>
      <c r="D85" s="3">
        <v>345</v>
      </c>
      <c r="E85" s="3">
        <v>169</v>
      </c>
      <c r="F85" s="1">
        <v>0.49</v>
      </c>
      <c r="G85" s="2" t="s">
        <v>339</v>
      </c>
      <c r="H85" s="4" t="s">
        <v>324</v>
      </c>
      <c r="I85" s="5" t="s">
        <v>324</v>
      </c>
      <c r="J85" s="2" t="s">
        <v>324</v>
      </c>
      <c r="K85" t="s">
        <v>324</v>
      </c>
    </row>
    <row r="86" spans="1:11" hidden="1" x14ac:dyDescent="0.25">
      <c r="A86" t="s">
        <v>256</v>
      </c>
      <c r="B86" s="3">
        <v>1466</v>
      </c>
      <c r="C86" s="2" t="s">
        <v>336</v>
      </c>
      <c r="D86" s="3">
        <v>1699</v>
      </c>
      <c r="E86" s="3">
        <v>233</v>
      </c>
      <c r="F86" s="1">
        <v>0.14000000000000001</v>
      </c>
      <c r="G86" s="2" t="s">
        <v>341</v>
      </c>
      <c r="H86" s="4" t="s">
        <v>324</v>
      </c>
      <c r="I86" s="5" t="s">
        <v>324</v>
      </c>
      <c r="J86" s="2" t="s">
        <v>324</v>
      </c>
      <c r="K86" t="s">
        <v>324</v>
      </c>
    </row>
    <row r="87" spans="1:11" hidden="1" x14ac:dyDescent="0.25">
      <c r="A87" t="s">
        <v>258</v>
      </c>
      <c r="B87" s="3">
        <v>274</v>
      </c>
      <c r="C87" s="2" t="s">
        <v>343</v>
      </c>
      <c r="D87" s="3">
        <v>537</v>
      </c>
      <c r="E87" s="3">
        <v>263</v>
      </c>
      <c r="F87" s="1">
        <v>0.49</v>
      </c>
      <c r="G87" s="2" t="s">
        <v>339</v>
      </c>
      <c r="H87" s="4" t="s">
        <v>324</v>
      </c>
      <c r="I87" s="5" t="s">
        <v>324</v>
      </c>
      <c r="J87" s="2" t="s">
        <v>324</v>
      </c>
      <c r="K87" t="s">
        <v>324</v>
      </c>
    </row>
    <row r="88" spans="1:11" hidden="1" x14ac:dyDescent="0.25">
      <c r="A88" t="s">
        <v>261</v>
      </c>
      <c r="B88" s="3">
        <v>799</v>
      </c>
      <c r="C88" s="2" t="s">
        <v>336</v>
      </c>
      <c r="D88" s="3">
        <v>900</v>
      </c>
      <c r="E88" s="3">
        <v>101</v>
      </c>
      <c r="F88" s="1">
        <v>0.11</v>
      </c>
      <c r="G88" s="2" t="s">
        <v>341</v>
      </c>
      <c r="H88" s="4" t="s">
        <v>324</v>
      </c>
      <c r="I88" s="5" t="s">
        <v>324</v>
      </c>
      <c r="J88" s="2" t="s">
        <v>324</v>
      </c>
      <c r="K88" t="s">
        <v>324</v>
      </c>
    </row>
    <row r="89" spans="1:11" hidden="1" x14ac:dyDescent="0.25">
      <c r="A89" t="s">
        <v>175</v>
      </c>
      <c r="B89" s="3">
        <v>657</v>
      </c>
      <c r="C89" s="2" t="s">
        <v>336</v>
      </c>
      <c r="D89" s="3">
        <v>1288</v>
      </c>
      <c r="E89" s="3">
        <v>631</v>
      </c>
      <c r="F89" s="1">
        <v>0.49</v>
      </c>
      <c r="G89" s="2" t="s">
        <v>339</v>
      </c>
      <c r="H89" s="4" t="s">
        <v>324</v>
      </c>
      <c r="I89" s="5" t="s">
        <v>324</v>
      </c>
      <c r="J89" s="2" t="s">
        <v>324</v>
      </c>
      <c r="K89" t="s">
        <v>324</v>
      </c>
    </row>
    <row r="90" spans="1:11" hidden="1" x14ac:dyDescent="0.25">
      <c r="A90" t="s">
        <v>264</v>
      </c>
      <c r="B90" s="3">
        <v>1468</v>
      </c>
      <c r="C90" s="2" t="s">
        <v>336</v>
      </c>
      <c r="D90" s="3">
        <v>1699</v>
      </c>
      <c r="E90" s="3">
        <v>231</v>
      </c>
      <c r="F90" s="1">
        <v>0.14000000000000001</v>
      </c>
      <c r="G90" s="2" t="s">
        <v>341</v>
      </c>
      <c r="H90" s="4" t="s">
        <v>324</v>
      </c>
      <c r="I90" s="5" t="s">
        <v>324</v>
      </c>
      <c r="J90" s="2" t="s">
        <v>324</v>
      </c>
      <c r="K90" t="s">
        <v>324</v>
      </c>
    </row>
    <row r="91" spans="1:11" hidden="1" x14ac:dyDescent="0.25">
      <c r="A91" t="s">
        <v>266</v>
      </c>
      <c r="B91" s="3">
        <v>630</v>
      </c>
      <c r="C91" s="2" t="s">
        <v>336</v>
      </c>
      <c r="D91" s="3">
        <v>1100</v>
      </c>
      <c r="E91" s="3">
        <v>470</v>
      </c>
      <c r="F91" s="1">
        <v>0.43</v>
      </c>
      <c r="G91" s="2" t="s">
        <v>339</v>
      </c>
      <c r="H91" s="4" t="s">
        <v>324</v>
      </c>
      <c r="I91" s="5" t="s">
        <v>324</v>
      </c>
      <c r="J91" s="2" t="s">
        <v>324</v>
      </c>
      <c r="K91" t="s">
        <v>324</v>
      </c>
    </row>
    <row r="92" spans="1:11" hidden="1" x14ac:dyDescent="0.25">
      <c r="A92" t="s">
        <v>269</v>
      </c>
      <c r="B92" s="3">
        <v>850</v>
      </c>
      <c r="C92" s="2" t="s">
        <v>336</v>
      </c>
      <c r="D92" s="3">
        <v>1700</v>
      </c>
      <c r="E92" s="3">
        <v>850</v>
      </c>
      <c r="F92" s="1">
        <v>0.5</v>
      </c>
      <c r="G92" s="2" t="s">
        <v>339</v>
      </c>
      <c r="H92" s="4" t="s">
        <v>324</v>
      </c>
      <c r="I92" s="5" t="s">
        <v>324</v>
      </c>
      <c r="J92" s="2" t="s">
        <v>324</v>
      </c>
      <c r="K92" t="s">
        <v>324</v>
      </c>
    </row>
    <row r="93" spans="1:11" hidden="1" x14ac:dyDescent="0.25">
      <c r="A93" t="s">
        <v>272</v>
      </c>
      <c r="B93" s="3">
        <v>1300</v>
      </c>
      <c r="C93" s="2" t="s">
        <v>336</v>
      </c>
      <c r="D93" s="3">
        <v>2500</v>
      </c>
      <c r="E93" s="3">
        <v>1200</v>
      </c>
      <c r="F93" s="1">
        <v>0.48</v>
      </c>
      <c r="G93" s="2" t="s">
        <v>339</v>
      </c>
      <c r="H93" s="4" t="s">
        <v>324</v>
      </c>
      <c r="I93" s="5" t="s">
        <v>324</v>
      </c>
      <c r="J93" s="2" t="s">
        <v>324</v>
      </c>
      <c r="K93" t="s">
        <v>324</v>
      </c>
    </row>
    <row r="94" spans="1:11" hidden="1" x14ac:dyDescent="0.25">
      <c r="A94" t="s">
        <v>274</v>
      </c>
      <c r="B94" s="3">
        <v>105</v>
      </c>
      <c r="C94" s="2" t="s">
        <v>343</v>
      </c>
      <c r="D94" s="3">
        <v>200</v>
      </c>
      <c r="E94" s="3">
        <v>95</v>
      </c>
      <c r="F94" s="1">
        <v>0.48</v>
      </c>
      <c r="G94" s="2" t="s">
        <v>339</v>
      </c>
      <c r="H94" s="4" t="s">
        <v>324</v>
      </c>
      <c r="I94" s="5" t="s">
        <v>324</v>
      </c>
      <c r="J94" s="2" t="s">
        <v>324</v>
      </c>
      <c r="K94" t="s">
        <v>324</v>
      </c>
    </row>
    <row r="95" spans="1:11" hidden="1" x14ac:dyDescent="0.25">
      <c r="A95" t="s">
        <v>277</v>
      </c>
      <c r="B95" s="3">
        <v>899</v>
      </c>
      <c r="C95" s="2" t="s">
        <v>336</v>
      </c>
      <c r="D95" s="3">
        <v>1699</v>
      </c>
      <c r="E95" s="3">
        <v>800</v>
      </c>
      <c r="F95" s="1">
        <v>0.47</v>
      </c>
      <c r="G95" s="2" t="s">
        <v>339</v>
      </c>
      <c r="H95" s="4" t="s">
        <v>324</v>
      </c>
      <c r="I95" s="5" t="s">
        <v>324</v>
      </c>
      <c r="J95" s="2" t="s">
        <v>324</v>
      </c>
      <c r="K95" t="s">
        <v>324</v>
      </c>
    </row>
    <row r="96" spans="1:11" hidden="1" x14ac:dyDescent="0.25">
      <c r="A96" t="s">
        <v>278</v>
      </c>
      <c r="B96" s="3">
        <v>1200</v>
      </c>
      <c r="C96" s="2" t="s">
        <v>336</v>
      </c>
      <c r="D96" s="3">
        <v>2400</v>
      </c>
      <c r="E96" s="3">
        <v>1200</v>
      </c>
      <c r="F96" s="1">
        <v>0.5</v>
      </c>
      <c r="G96" s="2" t="s">
        <v>339</v>
      </c>
      <c r="H96" s="4" t="s">
        <v>324</v>
      </c>
      <c r="I96" s="5" t="s">
        <v>324</v>
      </c>
      <c r="J96" s="2" t="s">
        <v>324</v>
      </c>
      <c r="K96" t="s">
        <v>324</v>
      </c>
    </row>
    <row r="97" spans="1:11" hidden="1" x14ac:dyDescent="0.25">
      <c r="A97" t="s">
        <v>280</v>
      </c>
      <c r="B97" s="3">
        <v>1526</v>
      </c>
      <c r="C97" s="2" t="s">
        <v>336</v>
      </c>
      <c r="D97" s="3">
        <v>1660</v>
      </c>
      <c r="E97" s="3">
        <v>134</v>
      </c>
      <c r="F97" s="1">
        <v>0.08</v>
      </c>
      <c r="G97" s="2" t="s">
        <v>341</v>
      </c>
      <c r="H97" s="4" t="s">
        <v>324</v>
      </c>
      <c r="I97" s="5" t="s">
        <v>324</v>
      </c>
      <c r="J97" s="2" t="s">
        <v>324</v>
      </c>
      <c r="K97" t="s">
        <v>324</v>
      </c>
    </row>
    <row r="98" spans="1:11" hidden="1" x14ac:dyDescent="0.25">
      <c r="A98" t="s">
        <v>282</v>
      </c>
      <c r="B98" s="3">
        <v>1462</v>
      </c>
      <c r="C98" s="2" t="s">
        <v>336</v>
      </c>
      <c r="D98" s="3">
        <v>1499</v>
      </c>
      <c r="E98" s="3">
        <v>37</v>
      </c>
      <c r="F98" s="1">
        <v>0.02</v>
      </c>
      <c r="G98" s="2" t="s">
        <v>341</v>
      </c>
      <c r="H98" s="4" t="s">
        <v>324</v>
      </c>
      <c r="I98" s="5" t="s">
        <v>324</v>
      </c>
      <c r="J98" s="2" t="s">
        <v>324</v>
      </c>
      <c r="K98" t="s">
        <v>324</v>
      </c>
    </row>
    <row r="99" spans="1:11" hidden="1" x14ac:dyDescent="0.25">
      <c r="A99" t="s">
        <v>284</v>
      </c>
      <c r="B99" s="3">
        <v>248</v>
      </c>
      <c r="C99" s="2" t="s">
        <v>343</v>
      </c>
      <c r="D99" s="3">
        <v>486</v>
      </c>
      <c r="E99" s="3">
        <v>238</v>
      </c>
      <c r="F99" s="1">
        <v>0.49</v>
      </c>
      <c r="G99" s="2" t="s">
        <v>339</v>
      </c>
      <c r="H99" s="4" t="s">
        <v>324</v>
      </c>
      <c r="I99" s="5" t="s">
        <v>324</v>
      </c>
      <c r="J99" s="2" t="s">
        <v>324</v>
      </c>
      <c r="K99" t="s">
        <v>324</v>
      </c>
    </row>
    <row r="100" spans="1:11" hidden="1" x14ac:dyDescent="0.25">
      <c r="A100" t="s">
        <v>287</v>
      </c>
      <c r="B100" s="3">
        <v>3546</v>
      </c>
      <c r="C100" s="2" t="s">
        <v>340</v>
      </c>
      <c r="D100" s="3">
        <v>3699</v>
      </c>
      <c r="E100" s="3">
        <v>153</v>
      </c>
      <c r="F100" s="1">
        <v>0.04</v>
      </c>
      <c r="G100" s="2" t="s">
        <v>341</v>
      </c>
      <c r="H100" s="4" t="s">
        <v>324</v>
      </c>
      <c r="I100" s="5" t="s">
        <v>324</v>
      </c>
      <c r="J100" s="2" t="s">
        <v>324</v>
      </c>
      <c r="K100" t="s">
        <v>324</v>
      </c>
    </row>
    <row r="101" spans="1:11" hidden="1" x14ac:dyDescent="0.25">
      <c r="A101" t="s">
        <v>289</v>
      </c>
      <c r="B101" s="3">
        <v>525</v>
      </c>
      <c r="C101" s="2" t="s">
        <v>336</v>
      </c>
      <c r="D101" s="3">
        <v>1029</v>
      </c>
      <c r="E101" s="3">
        <v>504</v>
      </c>
      <c r="F101" s="1">
        <v>0.49</v>
      </c>
      <c r="G101" s="2" t="s">
        <v>339</v>
      </c>
      <c r="H101" s="4" t="s">
        <v>324</v>
      </c>
      <c r="I101" s="5" t="s">
        <v>324</v>
      </c>
      <c r="J101" s="2" t="s">
        <v>324</v>
      </c>
      <c r="K101" t="s">
        <v>324</v>
      </c>
    </row>
    <row r="102" spans="1:11" hidden="1" x14ac:dyDescent="0.25">
      <c r="A102" t="s">
        <v>292</v>
      </c>
      <c r="B102" s="3">
        <v>1080</v>
      </c>
      <c r="C102" s="2" t="s">
        <v>336</v>
      </c>
      <c r="D102" s="3">
        <v>1874</v>
      </c>
      <c r="E102" s="3">
        <v>794</v>
      </c>
      <c r="F102" s="1">
        <v>0.42</v>
      </c>
      <c r="G102" s="2" t="s">
        <v>339</v>
      </c>
      <c r="H102" s="4" t="s">
        <v>324</v>
      </c>
      <c r="I102" s="5" t="s">
        <v>324</v>
      </c>
      <c r="J102" s="2" t="s">
        <v>324</v>
      </c>
      <c r="K102" t="s">
        <v>324</v>
      </c>
    </row>
    <row r="103" spans="1:11" x14ac:dyDescent="0.25">
      <c r="A103" t="s">
        <v>295</v>
      </c>
      <c r="B103" s="3">
        <v>3640</v>
      </c>
      <c r="C103" s="2" t="s">
        <v>340</v>
      </c>
      <c r="D103" s="3">
        <v>4588</v>
      </c>
      <c r="E103" s="3">
        <v>948</v>
      </c>
      <c r="F103" s="1">
        <v>0.21</v>
      </c>
      <c r="G103" s="2" t="s">
        <v>337</v>
      </c>
      <c r="H103" s="4">
        <v>1</v>
      </c>
      <c r="I103" s="5">
        <v>5</v>
      </c>
      <c r="J103" s="2" t="s">
        <v>338</v>
      </c>
      <c r="K103" t="str">
        <f>IF(OR(H103="",H103="Unknown",I103="",I103="Unknown"),"",IF(AND(H103&gt;=Review_Q3,I103&gt;=4),"Strong Engagement",IF(H103&lt;=Review_Q1,"Weak Engagement","Average Engagement")))</f>
        <v>Weak Engagement</v>
      </c>
    </row>
    <row r="104" spans="1:11" hidden="1" x14ac:dyDescent="0.25">
      <c r="A104" t="s">
        <v>298</v>
      </c>
      <c r="B104" s="3">
        <v>1420</v>
      </c>
      <c r="C104" s="2" t="s">
        <v>336</v>
      </c>
      <c r="D104" s="3">
        <v>2420</v>
      </c>
      <c r="E104" s="3">
        <v>1000</v>
      </c>
      <c r="F104" s="1">
        <v>0.41</v>
      </c>
      <c r="G104" s="2" t="s">
        <v>339</v>
      </c>
      <c r="H104" s="4" t="s">
        <v>324</v>
      </c>
      <c r="I104" s="5" t="s">
        <v>324</v>
      </c>
      <c r="J104" s="2" t="s">
        <v>324</v>
      </c>
      <c r="K104" t="s">
        <v>324</v>
      </c>
    </row>
    <row r="105" spans="1:11" hidden="1" x14ac:dyDescent="0.25">
      <c r="A105" t="s">
        <v>301</v>
      </c>
      <c r="B105" s="3">
        <v>1875</v>
      </c>
      <c r="C105" s="2" t="s">
        <v>340</v>
      </c>
      <c r="D105" s="3">
        <v>1899</v>
      </c>
      <c r="E105" s="3">
        <v>24</v>
      </c>
      <c r="F105" s="1">
        <v>0.01</v>
      </c>
      <c r="G105" s="2" t="s">
        <v>341</v>
      </c>
      <c r="H105" s="4" t="s">
        <v>324</v>
      </c>
      <c r="I105" s="5" t="s">
        <v>324</v>
      </c>
      <c r="J105" s="2" t="s">
        <v>324</v>
      </c>
      <c r="K105" t="s">
        <v>324</v>
      </c>
    </row>
    <row r="106" spans="1:11" hidden="1" x14ac:dyDescent="0.25">
      <c r="A106" t="s">
        <v>304</v>
      </c>
      <c r="B106" s="3">
        <v>198</v>
      </c>
      <c r="C106" s="2" t="s">
        <v>343</v>
      </c>
      <c r="D106" s="3">
        <v>260</v>
      </c>
      <c r="E106" s="3">
        <v>62</v>
      </c>
      <c r="F106" s="1">
        <v>0.24</v>
      </c>
      <c r="G106" s="2" t="s">
        <v>337</v>
      </c>
      <c r="H106" s="4" t="s">
        <v>324</v>
      </c>
      <c r="I106" s="5" t="s">
        <v>324</v>
      </c>
      <c r="J106" s="2" t="s">
        <v>324</v>
      </c>
      <c r="K106" t="s">
        <v>324</v>
      </c>
    </row>
    <row r="107" spans="1:11" hidden="1" x14ac:dyDescent="0.25">
      <c r="A107" t="s">
        <v>307</v>
      </c>
      <c r="B107" s="3">
        <v>1150</v>
      </c>
      <c r="C107" s="2" t="s">
        <v>336</v>
      </c>
      <c r="D107" s="3">
        <v>1737</v>
      </c>
      <c r="E107" s="3">
        <v>587</v>
      </c>
      <c r="F107" s="1">
        <v>0.34</v>
      </c>
      <c r="G107" s="2" t="s">
        <v>337</v>
      </c>
      <c r="H107" s="4" t="s">
        <v>324</v>
      </c>
      <c r="I107" s="5" t="s">
        <v>324</v>
      </c>
      <c r="J107" s="2" t="s">
        <v>324</v>
      </c>
      <c r="K107" t="s">
        <v>324</v>
      </c>
    </row>
    <row r="108" spans="1:11" hidden="1" x14ac:dyDescent="0.25">
      <c r="A108" t="s">
        <v>310</v>
      </c>
      <c r="B108" s="3">
        <v>1190</v>
      </c>
      <c r="C108" s="2" t="s">
        <v>336</v>
      </c>
      <c r="D108" s="3">
        <v>1810</v>
      </c>
      <c r="E108" s="3">
        <v>620</v>
      </c>
      <c r="F108" s="1">
        <v>0.34</v>
      </c>
      <c r="G108" s="2" t="s">
        <v>337</v>
      </c>
      <c r="H108" s="4" t="s">
        <v>324</v>
      </c>
      <c r="I108" s="5" t="s">
        <v>324</v>
      </c>
      <c r="J108" s="2" t="s">
        <v>324</v>
      </c>
      <c r="K108" t="s">
        <v>324</v>
      </c>
    </row>
    <row r="109" spans="1:11" hidden="1" x14ac:dyDescent="0.25">
      <c r="A109" t="s">
        <v>312</v>
      </c>
      <c r="B109" s="3">
        <v>1658</v>
      </c>
      <c r="C109" s="2" t="s">
        <v>336</v>
      </c>
      <c r="D109" s="3">
        <v>1699</v>
      </c>
      <c r="E109" s="3">
        <v>41</v>
      </c>
      <c r="F109" s="1">
        <v>0.02</v>
      </c>
      <c r="G109" s="2" t="s">
        <v>341</v>
      </c>
      <c r="H109" s="4" t="s">
        <v>324</v>
      </c>
      <c r="I109" s="5" t="s">
        <v>324</v>
      </c>
      <c r="J109" s="2" t="s">
        <v>324</v>
      </c>
      <c r="K109" t="s">
        <v>324</v>
      </c>
    </row>
    <row r="110" spans="1:11" hidden="1" x14ac:dyDescent="0.25">
      <c r="A110" t="s">
        <v>314</v>
      </c>
      <c r="B110" s="3">
        <v>1768</v>
      </c>
      <c r="C110" s="2" t="s">
        <v>340</v>
      </c>
      <c r="D110" s="3">
        <v>1799</v>
      </c>
      <c r="E110" s="3">
        <v>31</v>
      </c>
      <c r="F110" s="1">
        <v>0.02</v>
      </c>
      <c r="G110" s="2" t="s">
        <v>341</v>
      </c>
      <c r="H110" s="4" t="s">
        <v>324</v>
      </c>
      <c r="I110" s="5" t="s">
        <v>324</v>
      </c>
      <c r="J110" s="2" t="s">
        <v>324</v>
      </c>
      <c r="K110" t="s">
        <v>324</v>
      </c>
    </row>
    <row r="111" spans="1:11" hidden="1" x14ac:dyDescent="0.25">
      <c r="A111" t="s">
        <v>316</v>
      </c>
      <c r="B111" s="3">
        <v>199</v>
      </c>
      <c r="C111" s="2" t="s">
        <v>343</v>
      </c>
      <c r="D111" s="3">
        <v>553</v>
      </c>
      <c r="E111" s="3">
        <v>354</v>
      </c>
      <c r="F111" s="1">
        <v>0.64</v>
      </c>
      <c r="G111" s="2" t="s">
        <v>339</v>
      </c>
      <c r="H111" s="4" t="s">
        <v>324</v>
      </c>
      <c r="I111" s="5" t="s">
        <v>324</v>
      </c>
      <c r="J111" s="2" t="s">
        <v>324</v>
      </c>
      <c r="K111" t="s">
        <v>324</v>
      </c>
    </row>
    <row r="112" spans="1:11" hidden="1" x14ac:dyDescent="0.25">
      <c r="A112" t="s">
        <v>318</v>
      </c>
      <c r="B112" s="3">
        <v>450</v>
      </c>
      <c r="C112" s="2" t="s">
        <v>343</v>
      </c>
      <c r="D112" s="3">
        <v>900</v>
      </c>
      <c r="E112" s="3">
        <v>450</v>
      </c>
      <c r="F112" s="1">
        <v>0.5</v>
      </c>
      <c r="G112" s="2" t="s">
        <v>339</v>
      </c>
      <c r="H112" s="4">
        <v>1</v>
      </c>
      <c r="I112" s="5">
        <v>2</v>
      </c>
      <c r="J112" s="2" t="s">
        <v>344</v>
      </c>
      <c r="K112" t="str">
        <f>IF(OR(H112="",H112="Unknown",I112="",I112="Unknown"),"",IF(AND(H112&gt;=Review_Q3,I112&gt;=4),"Strong Engagement",IF(H112&lt;=Review_Q1,"Weak Engagement","Average Engagement")))</f>
        <v>Weak Engagement</v>
      </c>
    </row>
    <row r="113" spans="1:11" hidden="1" x14ac:dyDescent="0.25">
      <c r="A113" t="s">
        <v>320</v>
      </c>
      <c r="B113" s="3">
        <v>169</v>
      </c>
      <c r="C113" s="2" t="s">
        <v>343</v>
      </c>
      <c r="D113" s="3">
        <v>320</v>
      </c>
      <c r="E113" s="3">
        <v>151</v>
      </c>
      <c r="F113" s="1">
        <v>0.47</v>
      </c>
      <c r="G113" s="2" t="s">
        <v>339</v>
      </c>
      <c r="H113" s="4" t="s">
        <v>324</v>
      </c>
      <c r="I113" s="5" t="s">
        <v>324</v>
      </c>
      <c r="J113" s="2" t="s">
        <v>324</v>
      </c>
      <c r="K113" t="s">
        <v>324</v>
      </c>
    </row>
  </sheetData>
  <autoFilter ref="A1:K113" xr:uid="{383280BB-BA50-4547-8D77-4F03AAEBFDE2}">
    <filterColumn colId="2">
      <filters>
        <filter val="High Price"/>
      </filters>
    </filterColumn>
    <filterColumn colId="10">
      <filters>
        <filter val="Weak Engagement"/>
      </filters>
    </filterColumn>
  </autoFilter>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CD4C2-39D4-44C9-BE20-AB3418F07BE0}">
  <dimension ref="T42"/>
  <sheetViews>
    <sheetView tabSelected="1" topLeftCell="A13" zoomScale="63" zoomScaleNormal="63" workbookViewId="0">
      <selection activeCell="F44" sqref="F44"/>
    </sheetView>
  </sheetViews>
  <sheetFormatPr defaultRowHeight="15" x14ac:dyDescent="0.25"/>
  <cols>
    <col min="1" max="16384" width="9.140625" style="18"/>
  </cols>
  <sheetData>
    <row r="42" spans="20:20" x14ac:dyDescent="0.25">
      <c r="T42"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Excel_jumia_dataset</vt:lpstr>
      <vt:lpstr>Product Categories section</vt:lpstr>
      <vt:lpstr>Cleaned</vt:lpstr>
      <vt:lpstr>Data Analysis</vt:lpstr>
      <vt:lpstr>Seller Performance Analysis</vt:lpstr>
      <vt:lpstr>Trend Analysis</vt:lpstr>
      <vt:lpstr>Product Performance Section</vt:lpstr>
      <vt:lpstr>Product Performance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Gabriel Wainaina</cp:lastModifiedBy>
  <dcterms:created xsi:type="dcterms:W3CDTF">2026-09-07T20:53:32Z</dcterms:created>
  <dcterms:modified xsi:type="dcterms:W3CDTF">2026-09-08T07:15:40Z</dcterms:modified>
</cp:coreProperties>
</file>